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yes\Desktop\DOCUMENTOS 2025\COGENERACION 2025\COMPENSADOS\Abril\"/>
    </mc:Choice>
  </mc:AlternateContent>
  <xr:revisionPtr revIDLastSave="0" documentId="13_ncr:1_{204B6797-38D9-4C1D-B044-2871B1DE1CE9}" xr6:coauthVersionLast="47" xr6:coauthVersionMax="47" xr10:uidLastSave="{00000000-0000-0000-0000-000000000000}"/>
  <bookViews>
    <workbookView xWindow="-120" yWindow="-120" windowWidth="29040" windowHeight="15720" xr2:uid="{98E8A3C8-1451-4870-B0FD-8E874BF7EA92}"/>
  </bookViews>
  <sheets>
    <sheet name="P317202504-SBV-ABR25 compensado" sheetId="2" r:id="rId1"/>
    <sheet name="TOT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3" l="1"/>
  <c r="K56" i="3"/>
  <c r="J56" i="3"/>
  <c r="I56" i="3"/>
  <c r="H56" i="3"/>
  <c r="G56" i="3"/>
  <c r="F56" i="3"/>
  <c r="E56" i="3"/>
  <c r="D56" i="3"/>
  <c r="C56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2" i="3"/>
  <c r="K52" i="3"/>
  <c r="J52" i="3"/>
  <c r="I52" i="3"/>
  <c r="H52" i="3"/>
  <c r="G52" i="3"/>
  <c r="F52" i="3"/>
  <c r="E52" i="3"/>
  <c r="D52" i="3"/>
  <c r="C52" i="3"/>
  <c r="L51" i="3"/>
  <c r="K51" i="3"/>
  <c r="J51" i="3"/>
  <c r="I51" i="3"/>
  <c r="H51" i="3"/>
  <c r="G51" i="3"/>
  <c r="F51" i="3"/>
  <c r="E51" i="3"/>
  <c r="D51" i="3"/>
  <c r="C51" i="3"/>
  <c r="L50" i="3"/>
  <c r="K50" i="3"/>
  <c r="J50" i="3"/>
  <c r="I50" i="3"/>
  <c r="H50" i="3"/>
  <c r="G50" i="3"/>
  <c r="F50" i="3"/>
  <c r="E50" i="3"/>
  <c r="D50" i="3"/>
  <c r="C50" i="3"/>
  <c r="L48" i="3"/>
  <c r="K48" i="3"/>
  <c r="J48" i="3"/>
  <c r="I48" i="3"/>
  <c r="H48" i="3"/>
  <c r="G48" i="3"/>
  <c r="F48" i="3"/>
  <c r="E48" i="3"/>
  <c r="D48" i="3"/>
  <c r="C48" i="3"/>
  <c r="L47" i="3"/>
  <c r="K47" i="3"/>
  <c r="J47" i="3"/>
  <c r="I47" i="3"/>
  <c r="H47" i="3"/>
  <c r="G47" i="3"/>
  <c r="F47" i="3"/>
  <c r="E47" i="3"/>
  <c r="D47" i="3"/>
  <c r="C47" i="3"/>
  <c r="L46" i="3"/>
  <c r="K46" i="3"/>
  <c r="J46" i="3"/>
  <c r="I46" i="3"/>
  <c r="H46" i="3"/>
  <c r="G46" i="3"/>
  <c r="F46" i="3"/>
  <c r="E46" i="3"/>
  <c r="D46" i="3"/>
  <c r="C46" i="3"/>
  <c r="L45" i="3"/>
  <c r="K45" i="3"/>
  <c r="J45" i="3"/>
  <c r="I45" i="3"/>
  <c r="H45" i="3"/>
  <c r="G45" i="3"/>
  <c r="F45" i="3"/>
  <c r="E45" i="3"/>
  <c r="D45" i="3"/>
  <c r="C45" i="3"/>
  <c r="L44" i="3"/>
  <c r="K44" i="3"/>
  <c r="J44" i="3"/>
  <c r="I44" i="3"/>
  <c r="H44" i="3"/>
  <c r="G44" i="3"/>
  <c r="F44" i="3"/>
  <c r="E44" i="3"/>
  <c r="D44" i="3"/>
  <c r="C44" i="3"/>
  <c r="L43" i="3"/>
  <c r="K43" i="3"/>
  <c r="J43" i="3"/>
  <c r="I43" i="3"/>
  <c r="H43" i="3"/>
  <c r="G43" i="3"/>
  <c r="F43" i="3"/>
  <c r="E43" i="3"/>
  <c r="D43" i="3"/>
  <c r="C43" i="3"/>
  <c r="L42" i="3"/>
  <c r="K42" i="3"/>
  <c r="J42" i="3"/>
  <c r="I42" i="3"/>
  <c r="H42" i="3"/>
  <c r="G42" i="3"/>
  <c r="F42" i="3"/>
  <c r="E42" i="3"/>
  <c r="D42" i="3"/>
  <c r="C42" i="3"/>
  <c r="L40" i="3"/>
  <c r="K40" i="3"/>
  <c r="J40" i="3"/>
  <c r="I40" i="3"/>
  <c r="H40" i="3"/>
  <c r="G40" i="3"/>
  <c r="F40" i="3"/>
  <c r="E40" i="3"/>
  <c r="D40" i="3"/>
  <c r="C40" i="3"/>
  <c r="L39" i="3"/>
  <c r="K39" i="3"/>
  <c r="J39" i="3"/>
  <c r="I39" i="3"/>
  <c r="H39" i="3"/>
  <c r="G39" i="3"/>
  <c r="F39" i="3"/>
  <c r="E39" i="3"/>
  <c r="D39" i="3"/>
  <c r="C39" i="3"/>
  <c r="L38" i="3"/>
  <c r="K38" i="3"/>
  <c r="J38" i="3"/>
  <c r="I38" i="3"/>
  <c r="H38" i="3"/>
  <c r="G38" i="3"/>
  <c r="F38" i="3"/>
  <c r="E38" i="3"/>
  <c r="D38" i="3"/>
  <c r="C38" i="3"/>
  <c r="L37" i="3"/>
  <c r="K37" i="3"/>
  <c r="J37" i="3"/>
  <c r="I37" i="3"/>
  <c r="H37" i="3"/>
  <c r="G37" i="3"/>
  <c r="F37" i="3"/>
  <c r="E37" i="3"/>
  <c r="D37" i="3"/>
  <c r="C37" i="3"/>
  <c r="L36" i="3"/>
  <c r="K36" i="3"/>
  <c r="J36" i="3"/>
  <c r="I36" i="3"/>
  <c r="H36" i="3"/>
  <c r="G36" i="3"/>
  <c r="F36" i="3"/>
  <c r="E36" i="3"/>
  <c r="D36" i="3"/>
  <c r="C36" i="3"/>
  <c r="L35" i="3"/>
  <c r="K35" i="3"/>
  <c r="J35" i="3"/>
  <c r="I35" i="3"/>
  <c r="H35" i="3"/>
  <c r="G35" i="3"/>
  <c r="F35" i="3"/>
  <c r="E35" i="3"/>
  <c r="D35" i="3"/>
  <c r="C35" i="3"/>
  <c r="L34" i="3"/>
  <c r="K34" i="3"/>
  <c r="J34" i="3"/>
  <c r="I34" i="3"/>
  <c r="H34" i="3"/>
  <c r="G34" i="3"/>
  <c r="F34" i="3"/>
  <c r="E34" i="3"/>
  <c r="D34" i="3"/>
  <c r="C34" i="3"/>
  <c r="L32" i="3"/>
  <c r="K32" i="3"/>
  <c r="J32" i="3"/>
  <c r="I32" i="3"/>
  <c r="H32" i="3"/>
  <c r="G32" i="3"/>
  <c r="F32" i="3"/>
  <c r="E32" i="3"/>
  <c r="D32" i="3"/>
  <c r="C32" i="3"/>
  <c r="L31" i="3"/>
  <c r="K31" i="3"/>
  <c r="J31" i="3"/>
  <c r="I31" i="3"/>
  <c r="H31" i="3"/>
  <c r="G31" i="3"/>
  <c r="F31" i="3"/>
  <c r="E31" i="3"/>
  <c r="D31" i="3"/>
  <c r="C31" i="3"/>
  <c r="L30" i="3"/>
  <c r="K30" i="3"/>
  <c r="J30" i="3"/>
  <c r="I30" i="3"/>
  <c r="H30" i="3"/>
  <c r="G30" i="3"/>
  <c r="F30" i="3"/>
  <c r="E30" i="3"/>
  <c r="D30" i="3"/>
  <c r="C30" i="3"/>
  <c r="L29" i="3"/>
  <c r="K29" i="3"/>
  <c r="J29" i="3"/>
  <c r="I29" i="3"/>
  <c r="H29" i="3"/>
  <c r="G29" i="3"/>
  <c r="F29" i="3"/>
  <c r="E29" i="3"/>
  <c r="D29" i="3"/>
  <c r="C29" i="3"/>
  <c r="L28" i="3"/>
  <c r="K28" i="3"/>
  <c r="J28" i="3"/>
  <c r="I28" i="3"/>
  <c r="H28" i="3"/>
  <c r="G28" i="3"/>
  <c r="F28" i="3"/>
  <c r="E28" i="3"/>
  <c r="D28" i="3"/>
  <c r="C28" i="3"/>
  <c r="L27" i="3"/>
  <c r="K27" i="3"/>
  <c r="J27" i="3"/>
  <c r="I27" i="3"/>
  <c r="H27" i="3"/>
  <c r="G27" i="3"/>
  <c r="F27" i="3"/>
  <c r="E27" i="3"/>
  <c r="D27" i="3"/>
  <c r="C27" i="3"/>
  <c r="L26" i="3"/>
  <c r="K26" i="3"/>
  <c r="J26" i="3"/>
  <c r="I26" i="3"/>
  <c r="H26" i="3"/>
  <c r="G26" i="3"/>
  <c r="F26" i="3"/>
  <c r="E26" i="3"/>
  <c r="D26" i="3"/>
  <c r="C26" i="3"/>
  <c r="C19" i="3"/>
  <c r="D19" i="3"/>
  <c r="E19" i="3"/>
  <c r="F19" i="3"/>
  <c r="G19" i="3"/>
  <c r="H19" i="3"/>
  <c r="I19" i="3"/>
  <c r="J19" i="3"/>
  <c r="K19" i="3"/>
  <c r="L19" i="3"/>
  <c r="C20" i="3"/>
  <c r="D20" i="3"/>
  <c r="E20" i="3"/>
  <c r="F20" i="3"/>
  <c r="G20" i="3"/>
  <c r="H20" i="3"/>
  <c r="I20" i="3"/>
  <c r="J20" i="3"/>
  <c r="K20" i="3"/>
  <c r="L20" i="3"/>
  <c r="C21" i="3"/>
  <c r="D21" i="3"/>
  <c r="E21" i="3"/>
  <c r="F21" i="3"/>
  <c r="G21" i="3"/>
  <c r="H21" i="3"/>
  <c r="I21" i="3"/>
  <c r="J21" i="3"/>
  <c r="K21" i="3"/>
  <c r="L21" i="3"/>
  <c r="C22" i="3"/>
  <c r="D22" i="3"/>
  <c r="E22" i="3"/>
  <c r="F22" i="3"/>
  <c r="G22" i="3"/>
  <c r="H22" i="3"/>
  <c r="I22" i="3"/>
  <c r="J22" i="3"/>
  <c r="K22" i="3"/>
  <c r="L22" i="3"/>
  <c r="C23" i="3"/>
  <c r="D23" i="3"/>
  <c r="E23" i="3"/>
  <c r="F23" i="3"/>
  <c r="G23" i="3"/>
  <c r="H23" i="3"/>
  <c r="I23" i="3"/>
  <c r="J23" i="3"/>
  <c r="K23" i="3"/>
  <c r="L23" i="3"/>
  <c r="C24" i="3"/>
  <c r="D24" i="3"/>
  <c r="E24" i="3"/>
  <c r="F24" i="3"/>
  <c r="G24" i="3"/>
  <c r="H24" i="3"/>
  <c r="I24" i="3"/>
  <c r="J24" i="3"/>
  <c r="K24" i="3"/>
  <c r="L24" i="3"/>
  <c r="L18" i="3"/>
  <c r="K18" i="3"/>
  <c r="J18" i="3"/>
  <c r="I18" i="3"/>
  <c r="H18" i="3"/>
  <c r="G18" i="3"/>
  <c r="F18" i="3"/>
  <c r="E18" i="3"/>
  <c r="D18" i="3"/>
  <c r="C18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I7" i="3"/>
  <c r="J7" i="3"/>
  <c r="K7" i="3"/>
  <c r="H7" i="3"/>
  <c r="L16" i="3"/>
  <c r="L15" i="3"/>
  <c r="L14" i="3"/>
  <c r="L13" i="3"/>
  <c r="L12" i="3"/>
  <c r="L11" i="3"/>
  <c r="L10" i="3"/>
  <c r="L9" i="3"/>
  <c r="L8" i="3"/>
  <c r="L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D7" i="3"/>
  <c r="E7" i="3"/>
  <c r="F7" i="3"/>
  <c r="G7" i="3"/>
  <c r="C7" i="3"/>
</calcChain>
</file>

<file path=xl/sharedStrings.xml><?xml version="1.0" encoding="utf-8"?>
<sst xmlns="http://schemas.openxmlformats.org/spreadsheetml/2006/main" count="322" uniqueCount="63">
  <si>
    <t>Parámetros de Facturación de Servicios Contratados por Permisionarios y sus Centros de Consumo</t>
  </si>
  <si>
    <t>Abril del 2025 Período: 1 | Carga Local : 585 | CapacidadFuente : 1154</t>
  </si>
  <si>
    <t>KWH</t>
  </si>
  <si>
    <t>KW</t>
  </si>
  <si>
    <t>KVARH</t>
  </si>
  <si>
    <t>%FP</t>
  </si>
  <si>
    <t>KW Base</t>
  </si>
  <si>
    <t>KW Inter</t>
  </si>
  <si>
    <t>KW Punta</t>
  </si>
  <si>
    <t>KW SemiPunta</t>
  </si>
  <si>
    <t>Horas del período</t>
  </si>
  <si>
    <t>Factor de carga</t>
  </si>
  <si>
    <t>Base</t>
  </si>
  <si>
    <t>Intermedia</t>
  </si>
  <si>
    <t>Punta</t>
  </si>
  <si>
    <t>SemiPunta</t>
  </si>
  <si>
    <t>TOTALES</t>
  </si>
  <si>
    <t>Fecha</t>
  </si>
  <si>
    <t>Hora</t>
  </si>
  <si>
    <t>Minutos</t>
  </si>
  <si>
    <t>Resultados del Permisionario</t>
  </si>
  <si>
    <t>TOTAL PORTEADO O TRANSMISION</t>
  </si>
  <si>
    <t>RESPALDO</t>
  </si>
  <si>
    <t>FP DEL RESPALDO (Suministro Normal de la Planta)</t>
  </si>
  <si>
    <t>BANDA A FAVOR DEL PERMISIONARIO</t>
  </si>
  <si>
    <t>BANDA A FAVOR DEL SUMINISTRADOR</t>
  </si>
  <si>
    <t>EXCEDENTES</t>
  </si>
  <si>
    <t>ACFE</t>
  </si>
  <si>
    <t>APER</t>
  </si>
  <si>
    <t>PERDIDAS ASIGNADAS</t>
  </si>
  <si>
    <t>PERDIDAS POR COBRAR</t>
  </si>
  <si>
    <t>ENERGIA TOTAL</t>
  </si>
  <si>
    <t>DM24_988121001107_SANBORN HERMANOS SA</t>
  </si>
  <si>
    <t>DL70_140110900810_SEARS OPERADORA MEXICO SA D CV</t>
  </si>
  <si>
    <t>DL10_573900901933_SEARS OPERADORA MEXICO SADECV</t>
  </si>
  <si>
    <t>DM21_147980903088_SEARS OPERADORA MEXICO SA CV</t>
  </si>
  <si>
    <t>DM21_147071104134_SANBORN HERMANOS SA*TDA RESTAU</t>
  </si>
  <si>
    <t>DL10_573700101479_SANBORN HERMANOS S A</t>
  </si>
  <si>
    <t>DM24_980121000592_SEARS OPERADORA MEX SA DE CV</t>
  </si>
  <si>
    <t>ENERGIA NORMAL</t>
  </si>
  <si>
    <t>ENERGIA PORTEADA</t>
  </si>
  <si>
    <t>ENERGIA NORMAL POR FALTANTE</t>
  </si>
  <si>
    <t>RESPALDO POR CARGA</t>
  </si>
  <si>
    <t>Abril del 2025 Período: 2 | Carga Local : 585 | CapacidadFuente : 1154</t>
  </si>
  <si>
    <t>4/20/2025</t>
  </si>
  <si>
    <t>4/25/2025</t>
  </si>
  <si>
    <t>4/13/2025</t>
  </si>
  <si>
    <t>4/22/2025</t>
  </si>
  <si>
    <t>4/27/2025</t>
  </si>
  <si>
    <t>4/16/2025</t>
  </si>
  <si>
    <t>4/18/2025</t>
  </si>
  <si>
    <t>4/30/2025</t>
  </si>
  <si>
    <t>4/29/2025</t>
  </si>
  <si>
    <t>4/26/2025</t>
  </si>
  <si>
    <t>4/21/2025</t>
  </si>
  <si>
    <t>4/19/2025</t>
  </si>
  <si>
    <t>4/15/2025</t>
  </si>
  <si>
    <t>4/14/2025</t>
  </si>
  <si>
    <t>4/17/2025</t>
  </si>
  <si>
    <r>
      <t>CFE</t>
    </r>
    <r>
      <rPr>
        <sz val="11"/>
        <color rgb="FF000000"/>
        <rFont val="Arial"/>
        <family val="2"/>
      </rPr>
      <t xml:space="preserve"> - DIVISION CENTRO ORIENTE</t>
    </r>
  </si>
  <si>
    <r>
      <t>Proceso del Permisionario: </t>
    </r>
    <r>
      <rPr>
        <sz val="11"/>
        <color rgb="FF004400"/>
        <rFont val="Arial"/>
        <family val="2"/>
      </rPr>
      <t>SBV-CE G Sanborns 2, S.A. de C.V.(Planta Sanborns)</t>
    </r>
  </si>
  <si>
    <r>
      <t>CFE</t>
    </r>
    <r>
      <rPr>
        <sz val="12"/>
        <color rgb="FF000000"/>
        <rFont val="Arial"/>
        <family val="2"/>
      </rPr>
      <t xml:space="preserve"> - DIVISION CENTRO ORIENTE</t>
    </r>
  </si>
  <si>
    <r>
      <t>Proceso del Permisionario: </t>
    </r>
    <r>
      <rPr>
        <sz val="12"/>
        <color rgb="FF004400"/>
        <rFont val="Arial"/>
        <family val="2"/>
      </rPr>
      <t>SBV-CE G Sanborns 2, S.A. de C.V.(Planta Sanborns)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</si>
</sst>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4400"/>
      <name val="Arial"/>
      <family val="2"/>
    </font>
    <font>
      <sz val="11"/>
      <color rgb="FF000000"/>
      <name val="Arial"/>
      <family val="2"/>
    </font>
    <font>
      <sz val="11"/>
      <color theme="1"/>
      <name val="Arial-narrow"/>
    </font>
    <font>
      <b/>
      <sz val="11"/>
      <color theme="1"/>
      <name val="Arial-narrow"/>
    </font>
    <font>
      <sz val="12"/>
      <color rgb="FF004400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Arial-narrow"/>
    </font>
    <font>
      <b/>
      <sz val="12"/>
      <color theme="1"/>
      <name val="Arial-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5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Font="1"/>
    <xf numFmtId="0" fontId="19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20" fillId="33" borderId="11" xfId="0" applyFont="1" applyFill="1" applyBorder="1" applyAlignment="1">
      <alignment wrapText="1"/>
    </xf>
    <xf numFmtId="0" fontId="20" fillId="33" borderId="13" xfId="0" applyFont="1" applyFill="1" applyBorder="1" applyAlignment="1">
      <alignment wrapText="1"/>
    </xf>
    <xf numFmtId="0" fontId="21" fillId="33" borderId="18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0" fontId="20" fillId="33" borderId="14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wrapText="1"/>
    </xf>
    <xf numFmtId="0" fontId="21" fillId="33" borderId="14" xfId="0" applyFont="1" applyFill="1" applyBorder="1" applyAlignment="1">
      <alignment horizontal="center" wrapText="1"/>
    </xf>
    <xf numFmtId="0" fontId="20" fillId="33" borderId="15" xfId="0" applyFont="1" applyFill="1" applyBorder="1" applyAlignment="1">
      <alignment horizontal="center" textRotation="255" wrapText="1"/>
    </xf>
    <xf numFmtId="0" fontId="20" fillId="34" borderId="10" xfId="0" applyFont="1" applyFill="1" applyBorder="1" applyAlignment="1">
      <alignment wrapText="1"/>
    </xf>
    <xf numFmtId="3" fontId="20" fillId="0" borderId="10" xfId="0" applyNumberFormat="1" applyFont="1" applyBorder="1" applyAlignment="1">
      <alignment horizontal="right" wrapText="1"/>
    </xf>
    <xf numFmtId="3" fontId="21" fillId="0" borderId="10" xfId="0" applyNumberFormat="1" applyFont="1" applyBorder="1" applyAlignment="1">
      <alignment horizontal="right" wrapText="1"/>
    </xf>
    <xf numFmtId="0" fontId="20" fillId="0" borderId="10" xfId="0" applyFont="1" applyBorder="1" applyAlignment="1">
      <alignment horizontal="right" wrapText="1"/>
    </xf>
    <xf numFmtId="0" fontId="20" fillId="33" borderId="11" xfId="0" applyFont="1" applyFill="1" applyBorder="1" applyAlignment="1">
      <alignment horizontal="center" textRotation="255" wrapText="1"/>
    </xf>
    <xf numFmtId="0" fontId="20" fillId="33" borderId="10" xfId="0" applyFont="1" applyFill="1" applyBorder="1" applyAlignment="1">
      <alignment horizontal="center" textRotation="255" wrapText="1"/>
    </xf>
    <xf numFmtId="0" fontId="20" fillId="33" borderId="10" xfId="0" applyFont="1" applyFill="1" applyBorder="1" applyAlignment="1">
      <alignment wrapText="1"/>
    </xf>
    <xf numFmtId="0" fontId="21" fillId="33" borderId="17" xfId="0" applyFont="1" applyFill="1" applyBorder="1" applyAlignment="1">
      <alignment wrapText="1"/>
    </xf>
    <xf numFmtId="0" fontId="21" fillId="33" borderId="16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wrapText="1"/>
    </xf>
    <xf numFmtId="0" fontId="22" fillId="0" borderId="0" xfId="0" applyFont="1" applyAlignment="1">
      <alignment horizontal="center" wrapText="1"/>
    </xf>
    <xf numFmtId="0" fontId="24" fillId="0" borderId="0" xfId="0" applyFont="1"/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5" fillId="33" borderId="11" xfId="0" applyFont="1" applyFill="1" applyBorder="1" applyAlignment="1">
      <alignment wrapText="1"/>
    </xf>
    <xf numFmtId="0" fontId="25" fillId="33" borderId="13" xfId="0" applyFont="1" applyFill="1" applyBorder="1" applyAlignment="1">
      <alignment wrapText="1"/>
    </xf>
    <xf numFmtId="0" fontId="26" fillId="33" borderId="18" xfId="0" applyFont="1" applyFill="1" applyBorder="1" applyAlignment="1">
      <alignment horizontal="center" wrapText="1"/>
    </xf>
    <xf numFmtId="0" fontId="26" fillId="33" borderId="12" xfId="0" applyFont="1" applyFill="1" applyBorder="1" applyAlignment="1">
      <alignment horizontal="center" wrapText="1"/>
    </xf>
    <xf numFmtId="0" fontId="26" fillId="33" borderId="10" xfId="0" applyFont="1" applyFill="1" applyBorder="1" applyAlignment="1">
      <alignment horizontal="center" wrapText="1"/>
    </xf>
    <xf numFmtId="0" fontId="26" fillId="33" borderId="13" xfId="0" applyFont="1" applyFill="1" applyBorder="1" applyAlignment="1">
      <alignment horizontal="center" wrapText="1"/>
    </xf>
    <xf numFmtId="0" fontId="25" fillId="33" borderId="10" xfId="0" applyFont="1" applyFill="1" applyBorder="1" applyAlignment="1">
      <alignment wrapText="1"/>
    </xf>
    <xf numFmtId="0" fontId="25" fillId="33" borderId="14" xfId="0" applyFont="1" applyFill="1" applyBorder="1" applyAlignment="1">
      <alignment wrapText="1"/>
    </xf>
    <xf numFmtId="0" fontId="26" fillId="33" borderId="10" xfId="0" applyFont="1" applyFill="1" applyBorder="1" applyAlignment="1">
      <alignment horizontal="center" wrapText="1"/>
    </xf>
    <xf numFmtId="0" fontId="26" fillId="33" borderId="14" xfId="0" applyFont="1" applyFill="1" applyBorder="1" applyAlignment="1">
      <alignment horizontal="center" wrapText="1"/>
    </xf>
    <xf numFmtId="0" fontId="25" fillId="33" borderId="15" xfId="0" applyFont="1" applyFill="1" applyBorder="1" applyAlignment="1">
      <alignment horizontal="center" textRotation="255" wrapText="1"/>
    </xf>
    <xf numFmtId="0" fontId="25" fillId="34" borderId="10" xfId="0" applyFont="1" applyFill="1" applyBorder="1" applyAlignment="1">
      <alignment wrapText="1"/>
    </xf>
    <xf numFmtId="3" fontId="25" fillId="0" borderId="10" xfId="0" applyNumberFormat="1" applyFont="1" applyBorder="1" applyAlignment="1">
      <alignment horizontal="right" wrapText="1"/>
    </xf>
    <xf numFmtId="3" fontId="26" fillId="0" borderId="10" xfId="0" applyNumberFormat="1" applyFont="1" applyBorder="1" applyAlignment="1">
      <alignment horizontal="right" wrapText="1"/>
    </xf>
    <xf numFmtId="0" fontId="25" fillId="0" borderId="10" xfId="0" applyFont="1" applyBorder="1" applyAlignment="1">
      <alignment horizontal="right" wrapText="1"/>
    </xf>
    <xf numFmtId="0" fontId="25" fillId="33" borderId="11" xfId="0" applyFont="1" applyFill="1" applyBorder="1" applyAlignment="1">
      <alignment horizontal="center" textRotation="255" wrapText="1"/>
    </xf>
    <xf numFmtId="0" fontId="25" fillId="33" borderId="10" xfId="0" applyFont="1" applyFill="1" applyBorder="1" applyAlignment="1">
      <alignment horizontal="center" textRotation="255" wrapText="1"/>
    </xf>
    <xf numFmtId="0" fontId="25" fillId="33" borderId="10" xfId="0" applyFont="1" applyFill="1" applyBorder="1" applyAlignment="1">
      <alignment wrapText="1"/>
    </xf>
    <xf numFmtId="0" fontId="26" fillId="33" borderId="17" xfId="0" applyFont="1" applyFill="1" applyBorder="1" applyAlignment="1">
      <alignment wrapText="1"/>
    </xf>
    <xf numFmtId="0" fontId="26" fillId="33" borderId="16" xfId="0" applyFont="1" applyFill="1" applyBorder="1" applyAlignment="1">
      <alignment wrapText="1"/>
    </xf>
    <xf numFmtId="0" fontId="25" fillId="33" borderId="10" xfId="0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5" fillId="34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horizontal="center" wrapText="1"/>
    </xf>
    <xf numFmtId="0" fontId="21" fillId="0" borderId="10" xfId="0" applyFont="1" applyBorder="1" applyAlignment="1">
      <alignment horizontal="right" wrapText="1"/>
    </xf>
    <xf numFmtId="14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1" xfId="0" applyFont="1" applyBorder="1" applyAlignment="1">
      <alignment horizontal="right" wrapText="1"/>
    </xf>
    <xf numFmtId="0" fontId="21" fillId="0" borderId="11" xfId="0" applyFont="1" applyBorder="1" applyAlignment="1">
      <alignment horizontal="right" wrapText="1"/>
    </xf>
    <xf numFmtId="14" fontId="20" fillId="0" borderId="11" xfId="0" applyNumberFormat="1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2827-15C2-495C-B680-3D8E1E27CD32}">
  <dimension ref="A1:AG112"/>
  <sheetViews>
    <sheetView showGridLines="0" tabSelected="1" workbookViewId="0">
      <pane xSplit="1" ySplit="6" topLeftCell="B72" activePane="bottomRight" state="frozen"/>
      <selection pane="topRight" activeCell="B1" sqref="B1"/>
      <selection pane="bottomLeft" activeCell="A7" sqref="A7"/>
      <selection pane="bottomRight" activeCell="H79" sqref="H79:J79"/>
    </sheetView>
  </sheetViews>
  <sheetFormatPr baseColWidth="10" defaultRowHeight="15"/>
  <cols>
    <col min="1" max="1" width="3.42578125" style="2" customWidth="1"/>
    <col min="2" max="2" width="22.5703125" style="2" bestFit="1" customWidth="1"/>
    <col min="3" max="3" width="7.28515625" style="2" bestFit="1" customWidth="1"/>
    <col min="4" max="4" width="8.42578125" style="2" bestFit="1" customWidth="1"/>
    <col min="5" max="5" width="7.28515625" style="2" bestFit="1" customWidth="1"/>
    <col min="6" max="6" width="5.28515625" style="2" bestFit="1" customWidth="1"/>
    <col min="7" max="7" width="8.42578125" style="2" bestFit="1" customWidth="1"/>
    <col min="8" max="8" width="4.42578125" style="2" bestFit="1" customWidth="1"/>
    <col min="9" max="9" width="5.42578125" style="2" bestFit="1" customWidth="1"/>
    <col min="10" max="10" width="4.42578125" style="2" bestFit="1" customWidth="1"/>
    <col min="11" max="11" width="5.28515625" style="2" bestFit="1" customWidth="1"/>
    <col min="12" max="13" width="7.28515625" style="2" bestFit="1" customWidth="1"/>
    <col min="14" max="14" width="11.28515625" style="2" bestFit="1" customWidth="1"/>
    <col min="15" max="15" width="3.28515625" style="2" bestFit="1" customWidth="1"/>
    <col min="16" max="16" width="4.5703125" style="2" bestFit="1" customWidth="1"/>
    <col min="17" max="17" width="11.28515625" style="2" bestFit="1" customWidth="1"/>
    <col min="18" max="18" width="3.28515625" style="2" bestFit="1" customWidth="1"/>
    <col min="19" max="19" width="4.5703125" style="2" bestFit="1" customWidth="1"/>
    <col min="20" max="20" width="11.28515625" style="2" bestFit="1" customWidth="1"/>
    <col min="21" max="21" width="3.28515625" style="2" bestFit="1" customWidth="1"/>
    <col min="22" max="22" width="4.5703125" style="2" bestFit="1" customWidth="1"/>
    <col min="23" max="23" width="11.28515625" style="2" bestFit="1" customWidth="1"/>
    <col min="24" max="24" width="3" style="2" bestFit="1" customWidth="1"/>
    <col min="25" max="25" width="4.5703125" style="2" bestFit="1" customWidth="1"/>
    <col min="26" max="26" width="4.42578125" style="2" bestFit="1" customWidth="1"/>
    <col min="27" max="27" width="5.42578125" style="2" bestFit="1" customWidth="1"/>
    <col min="28" max="28" width="3.42578125" style="2" bestFit="1" customWidth="1"/>
    <col min="29" max="29" width="5.28515625" style="2" bestFit="1" customWidth="1"/>
    <col min="30" max="32" width="6.140625" style="2" bestFit="1" customWidth="1"/>
    <col min="33" max="33" width="5.28515625" style="2" bestFit="1" customWidth="1"/>
    <col min="34" max="16384" width="11.42578125" style="2"/>
  </cols>
  <sheetData>
    <row r="1" spans="1:33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3" t="s">
        <v>60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4.45" customHeight="1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ht="15.75" thickBot="1">
      <c r="A5" s="5"/>
      <c r="B5" s="6"/>
      <c r="C5" s="7" t="s">
        <v>2</v>
      </c>
      <c r="D5" s="8"/>
      <c r="E5" s="8"/>
      <c r="F5" s="8"/>
      <c r="G5" s="9"/>
      <c r="H5" s="7" t="s">
        <v>3</v>
      </c>
      <c r="I5" s="8"/>
      <c r="J5" s="8"/>
      <c r="K5" s="9"/>
      <c r="L5" s="10" t="s">
        <v>4</v>
      </c>
      <c r="M5" s="10" t="s">
        <v>5</v>
      </c>
      <c r="N5" s="7" t="s">
        <v>6</v>
      </c>
      <c r="O5" s="8"/>
      <c r="P5" s="9"/>
      <c r="Q5" s="7" t="s">
        <v>7</v>
      </c>
      <c r="R5" s="8"/>
      <c r="S5" s="9"/>
      <c r="T5" s="7" t="s">
        <v>8</v>
      </c>
      <c r="U5" s="8"/>
      <c r="V5" s="9"/>
      <c r="W5" s="7" t="s">
        <v>9</v>
      </c>
      <c r="X5" s="8"/>
      <c r="Y5" s="9"/>
      <c r="Z5" s="7" t="s">
        <v>10</v>
      </c>
      <c r="AA5" s="8"/>
      <c r="AB5" s="8"/>
      <c r="AC5" s="9"/>
      <c r="AD5" s="7" t="s">
        <v>11</v>
      </c>
      <c r="AE5" s="8"/>
      <c r="AF5" s="8"/>
      <c r="AG5" s="8"/>
    </row>
    <row r="6" spans="1:33" ht="60.75" thickBot="1">
      <c r="A6" s="11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12</v>
      </c>
      <c r="I6" s="13" t="s">
        <v>13</v>
      </c>
      <c r="J6" s="13" t="s">
        <v>14</v>
      </c>
      <c r="K6" s="13" t="s">
        <v>15</v>
      </c>
      <c r="L6" s="14"/>
      <c r="M6" s="14"/>
      <c r="N6" s="13" t="s">
        <v>17</v>
      </c>
      <c r="O6" s="13" t="s">
        <v>18</v>
      </c>
      <c r="P6" s="13" t="s">
        <v>19</v>
      </c>
      <c r="Q6" s="13" t="s">
        <v>17</v>
      </c>
      <c r="R6" s="13" t="s">
        <v>18</v>
      </c>
      <c r="S6" s="13" t="s">
        <v>19</v>
      </c>
      <c r="T6" s="13" t="s">
        <v>17</v>
      </c>
      <c r="U6" s="13" t="s">
        <v>18</v>
      </c>
      <c r="V6" s="13" t="s">
        <v>19</v>
      </c>
      <c r="W6" s="13" t="s">
        <v>17</v>
      </c>
      <c r="X6" s="13" t="s">
        <v>18</v>
      </c>
      <c r="Y6" s="13" t="s">
        <v>19</v>
      </c>
      <c r="Z6" s="13" t="s">
        <v>12</v>
      </c>
      <c r="AA6" s="13" t="s">
        <v>13</v>
      </c>
      <c r="AB6" s="13" t="s">
        <v>14</v>
      </c>
      <c r="AC6" s="13" t="s">
        <v>15</v>
      </c>
      <c r="AD6" s="13" t="s">
        <v>12</v>
      </c>
      <c r="AE6" s="13" t="s">
        <v>13</v>
      </c>
      <c r="AF6" s="13" t="s">
        <v>14</v>
      </c>
      <c r="AG6" s="55" t="s">
        <v>15</v>
      </c>
    </row>
    <row r="7" spans="1:33" ht="30" thickBot="1">
      <c r="A7" s="15" t="s">
        <v>20</v>
      </c>
      <c r="B7" s="16" t="s">
        <v>21</v>
      </c>
      <c r="C7" s="17">
        <v>9673</v>
      </c>
      <c r="D7" s="17">
        <v>15298</v>
      </c>
      <c r="E7" s="17">
        <v>3891</v>
      </c>
      <c r="F7" s="19">
        <v>0</v>
      </c>
      <c r="G7" s="18">
        <v>28862</v>
      </c>
      <c r="H7" s="19">
        <v>0</v>
      </c>
      <c r="I7" s="19">
        <v>708</v>
      </c>
      <c r="J7" s="19">
        <v>0</v>
      </c>
      <c r="K7" s="19">
        <v>0</v>
      </c>
      <c r="L7" s="56">
        <v>0</v>
      </c>
      <c r="M7" s="19">
        <v>1</v>
      </c>
      <c r="N7" s="57">
        <v>45661</v>
      </c>
      <c r="O7" s="58">
        <v>0</v>
      </c>
      <c r="P7" s="58">
        <v>5</v>
      </c>
      <c r="Q7" s="57">
        <v>45661</v>
      </c>
      <c r="R7" s="58">
        <v>12</v>
      </c>
      <c r="S7" s="58">
        <v>50</v>
      </c>
      <c r="T7" s="57">
        <v>45661</v>
      </c>
      <c r="U7" s="58">
        <v>18</v>
      </c>
      <c r="V7" s="58">
        <v>5</v>
      </c>
      <c r="W7" s="57">
        <v>1</v>
      </c>
      <c r="X7" s="58">
        <v>0</v>
      </c>
      <c r="Y7" s="58">
        <v>0</v>
      </c>
      <c r="Z7" s="58">
        <v>32</v>
      </c>
      <c r="AA7" s="58">
        <v>70</v>
      </c>
      <c r="AB7" s="58">
        <v>18</v>
      </c>
      <c r="AC7" s="58">
        <v>0</v>
      </c>
      <c r="AD7" s="58">
        <v>0</v>
      </c>
      <c r="AE7" s="58">
        <v>100</v>
      </c>
      <c r="AF7" s="58">
        <v>0</v>
      </c>
      <c r="AG7" s="59">
        <v>0</v>
      </c>
    </row>
    <row r="8" spans="1:33" ht="15.75" thickBot="1">
      <c r="A8" s="20"/>
      <c r="B8" s="16" t="s">
        <v>22</v>
      </c>
      <c r="C8" s="17">
        <v>1024</v>
      </c>
      <c r="D8" s="17">
        <v>10656</v>
      </c>
      <c r="E8" s="17">
        <v>3891</v>
      </c>
      <c r="F8" s="19">
        <v>0</v>
      </c>
      <c r="G8" s="18">
        <v>15572</v>
      </c>
      <c r="H8" s="19">
        <v>53</v>
      </c>
      <c r="I8" s="19">
        <v>286</v>
      </c>
      <c r="J8" s="19">
        <v>271</v>
      </c>
      <c r="K8" s="19">
        <v>0</v>
      </c>
      <c r="L8" s="56">
        <v>0</v>
      </c>
      <c r="M8" s="19">
        <v>1</v>
      </c>
      <c r="N8" s="57">
        <v>45781</v>
      </c>
      <c r="O8" s="58">
        <v>4</v>
      </c>
      <c r="P8" s="58">
        <v>55</v>
      </c>
      <c r="Q8" s="57">
        <v>45661</v>
      </c>
      <c r="R8" s="58">
        <v>13</v>
      </c>
      <c r="S8" s="58">
        <v>20</v>
      </c>
      <c r="T8" s="57">
        <v>45692</v>
      </c>
      <c r="U8" s="58">
        <v>18</v>
      </c>
      <c r="V8" s="58">
        <v>15</v>
      </c>
      <c r="W8" s="57">
        <v>1</v>
      </c>
      <c r="X8" s="58">
        <v>0</v>
      </c>
      <c r="Y8" s="58">
        <v>0</v>
      </c>
      <c r="Z8" s="58">
        <v>32</v>
      </c>
      <c r="AA8" s="58">
        <v>70</v>
      </c>
      <c r="AB8" s="58">
        <v>18</v>
      </c>
      <c r="AC8" s="58">
        <v>0</v>
      </c>
      <c r="AD8" s="58">
        <v>100</v>
      </c>
      <c r="AE8" s="58">
        <v>100</v>
      </c>
      <c r="AF8" s="58">
        <v>100</v>
      </c>
      <c r="AG8" s="59">
        <v>0</v>
      </c>
    </row>
    <row r="9" spans="1:33" ht="44.25" thickBot="1">
      <c r="A9" s="20"/>
      <c r="B9" s="16" t="s">
        <v>23</v>
      </c>
      <c r="C9" s="17">
        <v>1024</v>
      </c>
      <c r="D9" s="17">
        <v>10656</v>
      </c>
      <c r="E9" s="17">
        <v>3891</v>
      </c>
      <c r="F9" s="19">
        <v>0</v>
      </c>
      <c r="G9" s="18">
        <v>15572</v>
      </c>
      <c r="H9" s="19">
        <v>53</v>
      </c>
      <c r="I9" s="19">
        <v>286</v>
      </c>
      <c r="J9" s="19">
        <v>271</v>
      </c>
      <c r="K9" s="19">
        <v>0</v>
      </c>
      <c r="L9" s="18">
        <v>5001</v>
      </c>
      <c r="M9" s="19">
        <v>0.95209999999999995</v>
      </c>
      <c r="N9" s="57">
        <v>45781</v>
      </c>
      <c r="O9" s="58">
        <v>4</v>
      </c>
      <c r="P9" s="58">
        <v>55</v>
      </c>
      <c r="Q9" s="57">
        <v>45661</v>
      </c>
      <c r="R9" s="58">
        <v>13</v>
      </c>
      <c r="S9" s="58">
        <v>20</v>
      </c>
      <c r="T9" s="57">
        <v>45692</v>
      </c>
      <c r="U9" s="58">
        <v>18</v>
      </c>
      <c r="V9" s="58">
        <v>15</v>
      </c>
      <c r="W9" s="57">
        <v>1</v>
      </c>
      <c r="X9" s="58">
        <v>0</v>
      </c>
      <c r="Y9" s="58">
        <v>0</v>
      </c>
      <c r="Z9" s="58">
        <v>32</v>
      </c>
      <c r="AA9" s="58">
        <v>70</v>
      </c>
      <c r="AB9" s="58">
        <v>18</v>
      </c>
      <c r="AC9" s="58">
        <v>0</v>
      </c>
      <c r="AD9" s="58">
        <v>79.53</v>
      </c>
      <c r="AE9" s="58">
        <v>95.78</v>
      </c>
      <c r="AF9" s="58">
        <v>96.7</v>
      </c>
      <c r="AG9" s="59">
        <v>0</v>
      </c>
    </row>
    <row r="10" spans="1:33" ht="30" thickBot="1">
      <c r="A10" s="20"/>
      <c r="B10" s="16" t="s">
        <v>24</v>
      </c>
      <c r="C10" s="19">
        <v>0</v>
      </c>
      <c r="D10" s="19">
        <v>0</v>
      </c>
      <c r="E10" s="19">
        <v>0</v>
      </c>
      <c r="F10" s="19">
        <v>0</v>
      </c>
      <c r="G10" s="56">
        <v>0</v>
      </c>
      <c r="H10" s="19">
        <v>0</v>
      </c>
      <c r="I10" s="19">
        <v>0</v>
      </c>
      <c r="J10" s="19">
        <v>0</v>
      </c>
      <c r="K10" s="19">
        <v>0</v>
      </c>
      <c r="L10" s="56">
        <v>0</v>
      </c>
      <c r="M10" s="19"/>
      <c r="N10" s="57">
        <v>45661</v>
      </c>
      <c r="O10" s="58">
        <v>0</v>
      </c>
      <c r="P10" s="58">
        <v>5</v>
      </c>
      <c r="Q10" s="57">
        <v>45661</v>
      </c>
      <c r="R10" s="58">
        <v>6</v>
      </c>
      <c r="S10" s="58">
        <v>5</v>
      </c>
      <c r="T10" s="57">
        <v>45661</v>
      </c>
      <c r="U10" s="58">
        <v>18</v>
      </c>
      <c r="V10" s="58">
        <v>5</v>
      </c>
      <c r="W10" s="57">
        <v>1</v>
      </c>
      <c r="X10" s="58">
        <v>0</v>
      </c>
      <c r="Y10" s="58">
        <v>0</v>
      </c>
      <c r="Z10" s="58">
        <v>32</v>
      </c>
      <c r="AA10" s="58">
        <v>70</v>
      </c>
      <c r="AB10" s="58">
        <v>18</v>
      </c>
      <c r="AC10" s="58">
        <v>0</v>
      </c>
      <c r="AD10" s="58">
        <v>0</v>
      </c>
      <c r="AE10" s="58">
        <v>0</v>
      </c>
      <c r="AF10" s="58">
        <v>0</v>
      </c>
      <c r="AG10" s="59">
        <v>0</v>
      </c>
    </row>
    <row r="11" spans="1:33" ht="30" thickBot="1">
      <c r="A11" s="20"/>
      <c r="B11" s="16" t="s">
        <v>25</v>
      </c>
      <c r="C11" s="19">
        <v>0</v>
      </c>
      <c r="D11" s="19">
        <v>0</v>
      </c>
      <c r="E11" s="19">
        <v>0</v>
      </c>
      <c r="F11" s="19">
        <v>0</v>
      </c>
      <c r="G11" s="56">
        <v>0</v>
      </c>
      <c r="H11" s="19">
        <v>0</v>
      </c>
      <c r="I11" s="19">
        <v>0</v>
      </c>
      <c r="J11" s="19">
        <v>0</v>
      </c>
      <c r="K11" s="19">
        <v>0</v>
      </c>
      <c r="L11" s="56">
        <v>0</v>
      </c>
      <c r="M11" s="19"/>
      <c r="N11" s="57">
        <v>45661</v>
      </c>
      <c r="O11" s="58">
        <v>0</v>
      </c>
      <c r="P11" s="58">
        <v>5</v>
      </c>
      <c r="Q11" s="57">
        <v>45661</v>
      </c>
      <c r="R11" s="58">
        <v>6</v>
      </c>
      <c r="S11" s="58">
        <v>5</v>
      </c>
      <c r="T11" s="57">
        <v>45661</v>
      </c>
      <c r="U11" s="58">
        <v>18</v>
      </c>
      <c r="V11" s="58">
        <v>5</v>
      </c>
      <c r="W11" s="57">
        <v>1</v>
      </c>
      <c r="X11" s="58">
        <v>0</v>
      </c>
      <c r="Y11" s="58">
        <v>0</v>
      </c>
      <c r="Z11" s="58">
        <v>32</v>
      </c>
      <c r="AA11" s="58">
        <v>70</v>
      </c>
      <c r="AB11" s="58">
        <v>18</v>
      </c>
      <c r="AC11" s="58">
        <v>0</v>
      </c>
      <c r="AD11" s="58">
        <v>0</v>
      </c>
      <c r="AE11" s="58">
        <v>0</v>
      </c>
      <c r="AF11" s="58">
        <v>0</v>
      </c>
      <c r="AG11" s="59">
        <v>0</v>
      </c>
    </row>
    <row r="12" spans="1:33" ht="15.75" thickBot="1">
      <c r="A12" s="20"/>
      <c r="B12" s="16" t="s">
        <v>26</v>
      </c>
      <c r="C12" s="19">
        <v>0</v>
      </c>
      <c r="D12" s="19">
        <v>0</v>
      </c>
      <c r="E12" s="19">
        <v>0</v>
      </c>
      <c r="F12" s="19">
        <v>0</v>
      </c>
      <c r="G12" s="56">
        <v>0</v>
      </c>
      <c r="H12" s="19">
        <v>0</v>
      </c>
      <c r="I12" s="19">
        <v>0</v>
      </c>
      <c r="J12" s="19">
        <v>0</v>
      </c>
      <c r="K12" s="19">
        <v>0</v>
      </c>
      <c r="L12" s="56">
        <v>0</v>
      </c>
      <c r="M12" s="19"/>
      <c r="N12" s="57">
        <v>45661</v>
      </c>
      <c r="O12" s="58">
        <v>0</v>
      </c>
      <c r="P12" s="58">
        <v>5</v>
      </c>
      <c r="Q12" s="57">
        <v>45661</v>
      </c>
      <c r="R12" s="58">
        <v>6</v>
      </c>
      <c r="S12" s="58">
        <v>5</v>
      </c>
      <c r="T12" s="57">
        <v>45661</v>
      </c>
      <c r="U12" s="58">
        <v>18</v>
      </c>
      <c r="V12" s="58">
        <v>5</v>
      </c>
      <c r="W12" s="57">
        <v>1</v>
      </c>
      <c r="X12" s="58">
        <v>0</v>
      </c>
      <c r="Y12" s="58">
        <v>0</v>
      </c>
      <c r="Z12" s="58">
        <v>32</v>
      </c>
      <c r="AA12" s="58">
        <v>70</v>
      </c>
      <c r="AB12" s="58">
        <v>18</v>
      </c>
      <c r="AC12" s="58">
        <v>0</v>
      </c>
      <c r="AD12" s="58">
        <v>0</v>
      </c>
      <c r="AE12" s="58">
        <v>0</v>
      </c>
      <c r="AF12" s="58">
        <v>0</v>
      </c>
      <c r="AG12" s="59">
        <v>0</v>
      </c>
    </row>
    <row r="13" spans="1:33" ht="15.75" thickBot="1">
      <c r="A13" s="20"/>
      <c r="B13" s="16" t="s">
        <v>27</v>
      </c>
      <c r="C13" s="19">
        <v>0</v>
      </c>
      <c r="D13" s="19">
        <v>291</v>
      </c>
      <c r="E13" s="19">
        <v>0</v>
      </c>
      <c r="F13" s="19">
        <v>0</v>
      </c>
      <c r="G13" s="56">
        <v>291</v>
      </c>
      <c r="H13" s="19">
        <v>0</v>
      </c>
      <c r="I13" s="19">
        <v>708</v>
      </c>
      <c r="J13" s="19">
        <v>0</v>
      </c>
      <c r="K13" s="19">
        <v>0</v>
      </c>
      <c r="L13" s="56">
        <v>0</v>
      </c>
      <c r="M13" s="19">
        <v>1</v>
      </c>
      <c r="N13" s="57">
        <v>45661</v>
      </c>
      <c r="O13" s="58">
        <v>0</v>
      </c>
      <c r="P13" s="58">
        <v>5</v>
      </c>
      <c r="Q13" s="57">
        <v>45661</v>
      </c>
      <c r="R13" s="58">
        <v>12</v>
      </c>
      <c r="S13" s="58">
        <v>50</v>
      </c>
      <c r="T13" s="57">
        <v>45661</v>
      </c>
      <c r="U13" s="58">
        <v>18</v>
      </c>
      <c r="V13" s="58">
        <v>5</v>
      </c>
      <c r="W13" s="57">
        <v>1</v>
      </c>
      <c r="X13" s="58">
        <v>0</v>
      </c>
      <c r="Y13" s="58">
        <v>0</v>
      </c>
      <c r="Z13" s="58">
        <v>32</v>
      </c>
      <c r="AA13" s="58">
        <v>70</v>
      </c>
      <c r="AB13" s="58">
        <v>18</v>
      </c>
      <c r="AC13" s="58">
        <v>0</v>
      </c>
      <c r="AD13" s="58">
        <v>0</v>
      </c>
      <c r="AE13" s="58">
        <v>100</v>
      </c>
      <c r="AF13" s="58">
        <v>0</v>
      </c>
      <c r="AG13" s="59">
        <v>0</v>
      </c>
    </row>
    <row r="14" spans="1:33" ht="15.75" thickBot="1">
      <c r="A14" s="20"/>
      <c r="B14" s="16" t="s">
        <v>28</v>
      </c>
      <c r="C14" s="17">
        <v>1024</v>
      </c>
      <c r="D14" s="17">
        <v>10656</v>
      </c>
      <c r="E14" s="17">
        <v>3891</v>
      </c>
      <c r="F14" s="19">
        <v>0</v>
      </c>
      <c r="G14" s="18">
        <v>15572</v>
      </c>
      <c r="H14" s="19">
        <v>53</v>
      </c>
      <c r="I14" s="19">
        <v>286</v>
      </c>
      <c r="J14" s="19">
        <v>271</v>
      </c>
      <c r="K14" s="19">
        <v>0</v>
      </c>
      <c r="L14" s="18">
        <v>5001</v>
      </c>
      <c r="M14" s="19">
        <v>0.95209999999999995</v>
      </c>
      <c r="N14" s="57">
        <v>45781</v>
      </c>
      <c r="O14" s="58">
        <v>4</v>
      </c>
      <c r="P14" s="58">
        <v>55</v>
      </c>
      <c r="Q14" s="57">
        <v>45661</v>
      </c>
      <c r="R14" s="58">
        <v>13</v>
      </c>
      <c r="S14" s="58">
        <v>20</v>
      </c>
      <c r="T14" s="57">
        <v>45692</v>
      </c>
      <c r="U14" s="58">
        <v>18</v>
      </c>
      <c r="V14" s="58">
        <v>15</v>
      </c>
      <c r="W14" s="57">
        <v>1</v>
      </c>
      <c r="X14" s="58">
        <v>0</v>
      </c>
      <c r="Y14" s="58">
        <v>0</v>
      </c>
      <c r="Z14" s="58">
        <v>32</v>
      </c>
      <c r="AA14" s="58">
        <v>70</v>
      </c>
      <c r="AB14" s="58">
        <v>18</v>
      </c>
      <c r="AC14" s="58">
        <v>0</v>
      </c>
      <c r="AD14" s="58">
        <v>79.53</v>
      </c>
      <c r="AE14" s="58">
        <v>95.78</v>
      </c>
      <c r="AF14" s="58">
        <v>96.7</v>
      </c>
      <c r="AG14" s="59">
        <v>0</v>
      </c>
    </row>
    <row r="15" spans="1:33" ht="30" thickBot="1">
      <c r="A15" s="20"/>
      <c r="B15" s="16" t="s">
        <v>29</v>
      </c>
      <c r="C15" s="19">
        <v>0</v>
      </c>
      <c r="D15" s="19">
        <v>0</v>
      </c>
      <c r="E15" s="19">
        <v>0</v>
      </c>
      <c r="F15" s="19">
        <v>0</v>
      </c>
      <c r="G15" s="56">
        <v>0</v>
      </c>
      <c r="H15" s="19">
        <v>0</v>
      </c>
      <c r="I15" s="19">
        <v>0</v>
      </c>
      <c r="J15" s="19">
        <v>0</v>
      </c>
      <c r="K15" s="19">
        <v>0</v>
      </c>
      <c r="L15" s="56">
        <v>0</v>
      </c>
      <c r="M15" s="19"/>
      <c r="N15" s="57">
        <v>45661</v>
      </c>
      <c r="O15" s="58">
        <v>0</v>
      </c>
      <c r="P15" s="58">
        <v>5</v>
      </c>
      <c r="Q15" s="57">
        <v>45661</v>
      </c>
      <c r="R15" s="58">
        <v>6</v>
      </c>
      <c r="S15" s="58">
        <v>5</v>
      </c>
      <c r="T15" s="57">
        <v>45661</v>
      </c>
      <c r="U15" s="58">
        <v>18</v>
      </c>
      <c r="V15" s="58">
        <v>5</v>
      </c>
      <c r="W15" s="57">
        <v>1</v>
      </c>
      <c r="X15" s="58">
        <v>0</v>
      </c>
      <c r="Y15" s="58">
        <v>0</v>
      </c>
      <c r="Z15" s="58">
        <v>32</v>
      </c>
      <c r="AA15" s="58">
        <v>70</v>
      </c>
      <c r="AB15" s="58">
        <v>18</v>
      </c>
      <c r="AC15" s="58">
        <v>0</v>
      </c>
      <c r="AD15" s="58">
        <v>0</v>
      </c>
      <c r="AE15" s="58">
        <v>0</v>
      </c>
      <c r="AF15" s="58">
        <v>0</v>
      </c>
      <c r="AG15" s="59">
        <v>0</v>
      </c>
    </row>
    <row r="16" spans="1:33" ht="30" thickBot="1">
      <c r="A16" s="21"/>
      <c r="B16" s="16" t="s">
        <v>30</v>
      </c>
      <c r="C16" s="19">
        <v>0</v>
      </c>
      <c r="D16" s="19">
        <v>0</v>
      </c>
      <c r="E16" s="19">
        <v>0</v>
      </c>
      <c r="F16" s="19">
        <v>0</v>
      </c>
      <c r="G16" s="56">
        <v>0</v>
      </c>
      <c r="H16" s="19">
        <v>0</v>
      </c>
      <c r="I16" s="19">
        <v>0</v>
      </c>
      <c r="J16" s="19">
        <v>0</v>
      </c>
      <c r="K16" s="19">
        <v>0</v>
      </c>
      <c r="L16" s="56">
        <v>0</v>
      </c>
      <c r="M16" s="19"/>
      <c r="N16" s="57">
        <v>45661</v>
      </c>
      <c r="O16" s="58">
        <v>0</v>
      </c>
      <c r="P16" s="58">
        <v>5</v>
      </c>
      <c r="Q16" s="57">
        <v>45661</v>
      </c>
      <c r="R16" s="58">
        <v>6</v>
      </c>
      <c r="S16" s="58">
        <v>5</v>
      </c>
      <c r="T16" s="57">
        <v>45661</v>
      </c>
      <c r="U16" s="58">
        <v>18</v>
      </c>
      <c r="V16" s="58">
        <v>5</v>
      </c>
      <c r="W16" s="57">
        <v>1</v>
      </c>
      <c r="X16" s="58">
        <v>0</v>
      </c>
      <c r="Y16" s="58">
        <v>0</v>
      </c>
      <c r="Z16" s="58">
        <v>32</v>
      </c>
      <c r="AA16" s="58">
        <v>70</v>
      </c>
      <c r="AB16" s="58">
        <v>18</v>
      </c>
      <c r="AC16" s="58">
        <v>0</v>
      </c>
      <c r="AD16" s="58">
        <v>0</v>
      </c>
      <c r="AE16" s="58">
        <v>0</v>
      </c>
      <c r="AF16" s="58">
        <v>0</v>
      </c>
      <c r="AG16" s="59">
        <v>0</v>
      </c>
    </row>
    <row r="17" spans="1:33" ht="15.75" thickBot="1">
      <c r="A17" s="22"/>
      <c r="B17" s="23" t="s">
        <v>31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spans="1:33" ht="44.25" thickBot="1">
      <c r="A18" s="25">
        <v>1</v>
      </c>
      <c r="B18" s="16" t="s">
        <v>32</v>
      </c>
      <c r="C18" s="17">
        <v>1590</v>
      </c>
      <c r="D18" s="17">
        <v>5938</v>
      </c>
      <c r="E18" s="17">
        <v>1638</v>
      </c>
      <c r="F18" s="19">
        <v>0</v>
      </c>
      <c r="G18" s="18">
        <v>9166</v>
      </c>
      <c r="H18" s="19">
        <v>70</v>
      </c>
      <c r="I18" s="19">
        <v>135</v>
      </c>
      <c r="J18" s="19">
        <v>109</v>
      </c>
      <c r="K18" s="19">
        <v>0</v>
      </c>
      <c r="L18" s="18">
        <v>3807</v>
      </c>
      <c r="M18" s="19">
        <v>0.92349999999999999</v>
      </c>
      <c r="N18" s="57">
        <v>45781</v>
      </c>
      <c r="O18" s="58">
        <v>7</v>
      </c>
      <c r="P18" s="58">
        <v>25</v>
      </c>
      <c r="Q18" s="57">
        <v>45781</v>
      </c>
      <c r="R18" s="58">
        <v>15</v>
      </c>
      <c r="S18" s="58">
        <v>10</v>
      </c>
      <c r="T18" s="57">
        <v>45751</v>
      </c>
      <c r="U18" s="58">
        <v>18</v>
      </c>
      <c r="V18" s="58">
        <v>40</v>
      </c>
      <c r="W18" s="57">
        <v>1</v>
      </c>
      <c r="X18" s="58">
        <v>0</v>
      </c>
      <c r="Y18" s="58">
        <v>0</v>
      </c>
      <c r="Z18" s="58">
        <v>32</v>
      </c>
      <c r="AA18" s="58">
        <v>70</v>
      </c>
      <c r="AB18" s="58">
        <v>18</v>
      </c>
      <c r="AC18" s="58">
        <v>0</v>
      </c>
      <c r="AD18" s="58">
        <v>85.86</v>
      </c>
      <c r="AE18" s="58">
        <v>93.5</v>
      </c>
      <c r="AF18" s="58">
        <v>93.8</v>
      </c>
      <c r="AG18" s="59">
        <v>0</v>
      </c>
    </row>
    <row r="19" spans="1:33" ht="44.25" thickBot="1">
      <c r="A19" s="25">
        <v>2</v>
      </c>
      <c r="B19" s="16" t="s">
        <v>33</v>
      </c>
      <c r="C19" s="17">
        <v>1147</v>
      </c>
      <c r="D19" s="17">
        <v>10452</v>
      </c>
      <c r="E19" s="17">
        <v>1752</v>
      </c>
      <c r="F19" s="19">
        <v>0</v>
      </c>
      <c r="G19" s="18">
        <v>13351</v>
      </c>
      <c r="H19" s="19">
        <v>41</v>
      </c>
      <c r="I19" s="19">
        <v>396</v>
      </c>
      <c r="J19" s="19">
        <v>156</v>
      </c>
      <c r="K19" s="19">
        <v>0</v>
      </c>
      <c r="L19" s="18">
        <v>4077</v>
      </c>
      <c r="M19" s="19">
        <v>0.95640000000000003</v>
      </c>
      <c r="N19" s="57">
        <v>45781</v>
      </c>
      <c r="O19" s="58">
        <v>7</v>
      </c>
      <c r="P19" s="58">
        <v>55</v>
      </c>
      <c r="Q19" s="57">
        <v>45720</v>
      </c>
      <c r="R19" s="58">
        <v>12</v>
      </c>
      <c r="S19" s="58">
        <v>50</v>
      </c>
      <c r="T19" s="57">
        <v>45692</v>
      </c>
      <c r="U19" s="58">
        <v>18</v>
      </c>
      <c r="V19" s="58">
        <v>25</v>
      </c>
      <c r="W19" s="57">
        <v>1</v>
      </c>
      <c r="X19" s="58">
        <v>0</v>
      </c>
      <c r="Y19" s="58">
        <v>0</v>
      </c>
      <c r="Z19" s="58">
        <v>32</v>
      </c>
      <c r="AA19" s="58">
        <v>70</v>
      </c>
      <c r="AB19" s="58">
        <v>18</v>
      </c>
      <c r="AC19" s="58">
        <v>0</v>
      </c>
      <c r="AD19" s="58">
        <v>100</v>
      </c>
      <c r="AE19" s="58">
        <v>93.64</v>
      </c>
      <c r="AF19" s="58">
        <v>99.59</v>
      </c>
      <c r="AG19" s="59">
        <v>0</v>
      </c>
    </row>
    <row r="20" spans="1:33" ht="44.25" thickBot="1">
      <c r="A20" s="25">
        <v>3</v>
      </c>
      <c r="B20" s="16" t="s">
        <v>34</v>
      </c>
      <c r="C20" s="19">
        <v>792</v>
      </c>
      <c r="D20" s="17">
        <v>17432</v>
      </c>
      <c r="E20" s="17">
        <v>3509</v>
      </c>
      <c r="F20" s="19">
        <v>0</v>
      </c>
      <c r="G20" s="18">
        <v>21733</v>
      </c>
      <c r="H20" s="19">
        <v>46</v>
      </c>
      <c r="I20" s="19">
        <v>492</v>
      </c>
      <c r="J20" s="19">
        <v>371</v>
      </c>
      <c r="K20" s="19">
        <v>0</v>
      </c>
      <c r="L20" s="18">
        <v>10993</v>
      </c>
      <c r="M20" s="19">
        <v>0.89229999999999998</v>
      </c>
      <c r="N20" s="57">
        <v>45781</v>
      </c>
      <c r="O20" s="58">
        <v>7</v>
      </c>
      <c r="P20" s="58">
        <v>55</v>
      </c>
      <c r="Q20" s="57">
        <v>45781</v>
      </c>
      <c r="R20" s="58">
        <v>13</v>
      </c>
      <c r="S20" s="58">
        <v>40</v>
      </c>
      <c r="T20" s="57">
        <v>45692</v>
      </c>
      <c r="U20" s="58">
        <v>18</v>
      </c>
      <c r="V20" s="58">
        <v>25</v>
      </c>
      <c r="W20" s="57">
        <v>1</v>
      </c>
      <c r="X20" s="58">
        <v>0</v>
      </c>
      <c r="Y20" s="58">
        <v>0</v>
      </c>
      <c r="Z20" s="58">
        <v>32</v>
      </c>
      <c r="AA20" s="58">
        <v>70</v>
      </c>
      <c r="AB20" s="58">
        <v>18</v>
      </c>
      <c r="AC20" s="58">
        <v>0</v>
      </c>
      <c r="AD20" s="58">
        <v>82.27</v>
      </c>
      <c r="AE20" s="58">
        <v>88.85</v>
      </c>
      <c r="AF20" s="58">
        <v>92.47</v>
      </c>
      <c r="AG20" s="59">
        <v>0</v>
      </c>
    </row>
    <row r="21" spans="1:33" ht="58.5" thickBot="1">
      <c r="A21" s="25">
        <v>4</v>
      </c>
      <c r="B21" s="16" t="s">
        <v>35</v>
      </c>
      <c r="C21" s="19">
        <v>892</v>
      </c>
      <c r="D21" s="17">
        <v>15612</v>
      </c>
      <c r="E21" s="17">
        <v>3881</v>
      </c>
      <c r="F21" s="19">
        <v>0</v>
      </c>
      <c r="G21" s="18">
        <v>20385</v>
      </c>
      <c r="H21" s="19">
        <v>41</v>
      </c>
      <c r="I21" s="19">
        <v>468</v>
      </c>
      <c r="J21" s="19">
        <v>435</v>
      </c>
      <c r="K21" s="19">
        <v>0</v>
      </c>
      <c r="L21" s="18">
        <v>6951</v>
      </c>
      <c r="M21" s="19">
        <v>0.94650000000000001</v>
      </c>
      <c r="N21" s="57">
        <v>45781</v>
      </c>
      <c r="O21" s="58">
        <v>8</v>
      </c>
      <c r="P21" s="58">
        <v>0</v>
      </c>
      <c r="Q21" s="57">
        <v>45692</v>
      </c>
      <c r="R21" s="58">
        <v>13</v>
      </c>
      <c r="S21" s="58">
        <v>50</v>
      </c>
      <c r="T21" s="57">
        <v>45692</v>
      </c>
      <c r="U21" s="58">
        <v>18</v>
      </c>
      <c r="V21" s="58">
        <v>30</v>
      </c>
      <c r="W21" s="57">
        <v>1</v>
      </c>
      <c r="X21" s="58">
        <v>0</v>
      </c>
      <c r="Y21" s="58">
        <v>0</v>
      </c>
      <c r="Z21" s="58">
        <v>32</v>
      </c>
      <c r="AA21" s="58">
        <v>70</v>
      </c>
      <c r="AB21" s="58">
        <v>18</v>
      </c>
      <c r="AC21" s="58">
        <v>0</v>
      </c>
      <c r="AD21" s="58">
        <v>99.73</v>
      </c>
      <c r="AE21" s="58">
        <v>93.26</v>
      </c>
      <c r="AF21" s="58">
        <v>97.72</v>
      </c>
      <c r="AG21" s="59">
        <v>0</v>
      </c>
    </row>
    <row r="22" spans="1:33" ht="58.5" thickBot="1">
      <c r="A22" s="25">
        <v>5</v>
      </c>
      <c r="B22" s="16" t="s">
        <v>36</v>
      </c>
      <c r="C22" s="17">
        <v>2483</v>
      </c>
      <c r="D22" s="17">
        <v>12018</v>
      </c>
      <c r="E22" s="17">
        <v>3226</v>
      </c>
      <c r="F22" s="19">
        <v>0</v>
      </c>
      <c r="G22" s="18">
        <v>17728</v>
      </c>
      <c r="H22" s="19">
        <v>166</v>
      </c>
      <c r="I22" s="19">
        <v>214</v>
      </c>
      <c r="J22" s="19">
        <v>209</v>
      </c>
      <c r="K22" s="19">
        <v>0</v>
      </c>
      <c r="L22" s="18">
        <v>8665</v>
      </c>
      <c r="M22" s="19">
        <v>0.89839999999999998</v>
      </c>
      <c r="N22" s="57">
        <v>45781</v>
      </c>
      <c r="O22" s="58">
        <v>8</v>
      </c>
      <c r="P22" s="58">
        <v>0</v>
      </c>
      <c r="Q22" s="57">
        <v>45751</v>
      </c>
      <c r="R22" s="58">
        <v>12</v>
      </c>
      <c r="S22" s="58">
        <v>15</v>
      </c>
      <c r="T22" s="57">
        <v>45751</v>
      </c>
      <c r="U22" s="58">
        <v>18</v>
      </c>
      <c r="V22" s="58">
        <v>35</v>
      </c>
      <c r="W22" s="57">
        <v>1</v>
      </c>
      <c r="X22" s="58">
        <v>0</v>
      </c>
      <c r="Y22" s="58">
        <v>0</v>
      </c>
      <c r="Z22" s="58">
        <v>32</v>
      </c>
      <c r="AA22" s="58">
        <v>70</v>
      </c>
      <c r="AB22" s="58">
        <v>18</v>
      </c>
      <c r="AC22" s="58">
        <v>0</v>
      </c>
      <c r="AD22" s="58">
        <v>89.7</v>
      </c>
      <c r="AE22" s="58">
        <v>89.86</v>
      </c>
      <c r="AF22" s="58">
        <v>89.9</v>
      </c>
      <c r="AG22" s="59">
        <v>0</v>
      </c>
    </row>
    <row r="23" spans="1:33" ht="44.25" thickBot="1">
      <c r="A23" s="25">
        <v>6</v>
      </c>
      <c r="B23" s="16" t="s">
        <v>37</v>
      </c>
      <c r="C23" s="17">
        <v>2241</v>
      </c>
      <c r="D23" s="17">
        <v>8201</v>
      </c>
      <c r="E23" s="17">
        <v>1895</v>
      </c>
      <c r="F23" s="19">
        <v>0</v>
      </c>
      <c r="G23" s="18">
        <v>12337</v>
      </c>
      <c r="H23" s="19">
        <v>115</v>
      </c>
      <c r="I23" s="19">
        <v>184</v>
      </c>
      <c r="J23" s="19">
        <v>137</v>
      </c>
      <c r="K23" s="19">
        <v>0</v>
      </c>
      <c r="L23" s="18">
        <v>5028</v>
      </c>
      <c r="M23" s="19">
        <v>0.92600000000000005</v>
      </c>
      <c r="N23" s="57">
        <v>45781</v>
      </c>
      <c r="O23" s="58">
        <v>8</v>
      </c>
      <c r="P23" s="58">
        <v>0</v>
      </c>
      <c r="Q23" s="57">
        <v>45781</v>
      </c>
      <c r="R23" s="58">
        <v>12</v>
      </c>
      <c r="S23" s="58">
        <v>30</v>
      </c>
      <c r="T23" s="57">
        <v>45751</v>
      </c>
      <c r="U23" s="58">
        <v>18</v>
      </c>
      <c r="V23" s="58">
        <v>15</v>
      </c>
      <c r="W23" s="57">
        <v>1</v>
      </c>
      <c r="X23" s="58">
        <v>0</v>
      </c>
      <c r="Y23" s="58">
        <v>0</v>
      </c>
      <c r="Z23" s="58">
        <v>32</v>
      </c>
      <c r="AA23" s="58">
        <v>70</v>
      </c>
      <c r="AB23" s="58">
        <v>18</v>
      </c>
      <c r="AC23" s="58">
        <v>0</v>
      </c>
      <c r="AD23" s="58">
        <v>91.51</v>
      </c>
      <c r="AE23" s="58">
        <v>92.88</v>
      </c>
      <c r="AF23" s="58">
        <v>92.67</v>
      </c>
      <c r="AG23" s="59">
        <v>0</v>
      </c>
    </row>
    <row r="24" spans="1:33" ht="58.5" thickBot="1">
      <c r="A24" s="25">
        <v>7</v>
      </c>
      <c r="B24" s="16" t="s">
        <v>38</v>
      </c>
      <c r="C24" s="17">
        <v>1024</v>
      </c>
      <c r="D24" s="17">
        <v>10656</v>
      </c>
      <c r="E24" s="17">
        <v>3891</v>
      </c>
      <c r="F24" s="19">
        <v>0</v>
      </c>
      <c r="G24" s="18">
        <v>15572</v>
      </c>
      <c r="H24" s="19">
        <v>53</v>
      </c>
      <c r="I24" s="19">
        <v>286</v>
      </c>
      <c r="J24" s="19">
        <v>271</v>
      </c>
      <c r="K24" s="19">
        <v>0</v>
      </c>
      <c r="L24" s="18">
        <v>5001</v>
      </c>
      <c r="M24" s="19">
        <v>0.95209999999999995</v>
      </c>
      <c r="N24" s="57">
        <v>45781</v>
      </c>
      <c r="O24" s="58">
        <v>4</v>
      </c>
      <c r="P24" s="58">
        <v>55</v>
      </c>
      <c r="Q24" s="57">
        <v>45661</v>
      </c>
      <c r="R24" s="58">
        <v>13</v>
      </c>
      <c r="S24" s="58">
        <v>20</v>
      </c>
      <c r="T24" s="57">
        <v>45692</v>
      </c>
      <c r="U24" s="58">
        <v>18</v>
      </c>
      <c r="V24" s="58">
        <v>15</v>
      </c>
      <c r="W24" s="57">
        <v>1</v>
      </c>
      <c r="X24" s="58">
        <v>0</v>
      </c>
      <c r="Y24" s="58">
        <v>0</v>
      </c>
      <c r="Z24" s="58">
        <v>32</v>
      </c>
      <c r="AA24" s="58">
        <v>70</v>
      </c>
      <c r="AB24" s="58">
        <v>18</v>
      </c>
      <c r="AC24" s="58">
        <v>0</v>
      </c>
      <c r="AD24" s="58">
        <v>79.53</v>
      </c>
      <c r="AE24" s="58">
        <v>95.78</v>
      </c>
      <c r="AF24" s="58">
        <v>96.7</v>
      </c>
      <c r="AG24" s="59">
        <v>0</v>
      </c>
    </row>
    <row r="25" spans="1:33" ht="15.75" thickBot="1">
      <c r="A25" s="22"/>
      <c r="B25" s="23" t="s">
        <v>39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spans="1:33" ht="44.25" thickBot="1">
      <c r="A26" s="25">
        <v>1</v>
      </c>
      <c r="B26" s="16" t="s">
        <v>32</v>
      </c>
      <c r="C26" s="19">
        <v>0</v>
      </c>
      <c r="D26" s="17">
        <v>1535</v>
      </c>
      <c r="E26" s="17">
        <v>1638</v>
      </c>
      <c r="F26" s="19">
        <v>0</v>
      </c>
      <c r="G26" s="18">
        <v>3173</v>
      </c>
      <c r="H26" s="19">
        <v>0</v>
      </c>
      <c r="I26" s="19">
        <v>55</v>
      </c>
      <c r="J26" s="19">
        <v>29</v>
      </c>
      <c r="K26" s="19">
        <v>0</v>
      </c>
      <c r="L26" s="56">
        <v>0</v>
      </c>
      <c r="M26" s="19">
        <v>1</v>
      </c>
      <c r="N26" s="57">
        <v>45661</v>
      </c>
      <c r="O26" s="58">
        <v>0</v>
      </c>
      <c r="P26" s="58">
        <v>5</v>
      </c>
      <c r="Q26" s="57">
        <v>45781</v>
      </c>
      <c r="R26" s="58">
        <v>15</v>
      </c>
      <c r="S26" s="58">
        <v>10</v>
      </c>
      <c r="T26" s="57">
        <v>45751</v>
      </c>
      <c r="U26" s="58">
        <v>18</v>
      </c>
      <c r="V26" s="58">
        <v>40</v>
      </c>
      <c r="W26" s="57">
        <v>1</v>
      </c>
      <c r="X26" s="58">
        <v>0</v>
      </c>
      <c r="Y26" s="58">
        <v>0</v>
      </c>
      <c r="Z26" s="58">
        <v>32</v>
      </c>
      <c r="AA26" s="58">
        <v>70</v>
      </c>
      <c r="AB26" s="58">
        <v>18</v>
      </c>
      <c r="AC26" s="58">
        <v>0</v>
      </c>
      <c r="AD26" s="58">
        <v>100</v>
      </c>
      <c r="AE26" s="58">
        <v>100</v>
      </c>
      <c r="AF26" s="58">
        <v>100</v>
      </c>
      <c r="AG26" s="59">
        <v>0</v>
      </c>
    </row>
    <row r="27" spans="1:33" ht="44.25" thickBot="1">
      <c r="A27" s="25">
        <v>2</v>
      </c>
      <c r="B27" s="16" t="s">
        <v>33</v>
      </c>
      <c r="C27" s="19">
        <v>0</v>
      </c>
      <c r="D27" s="17">
        <v>10375</v>
      </c>
      <c r="E27" s="17">
        <v>1752</v>
      </c>
      <c r="F27" s="19">
        <v>0</v>
      </c>
      <c r="G27" s="18">
        <v>12127</v>
      </c>
      <c r="H27" s="19">
        <v>0</v>
      </c>
      <c r="I27" s="19">
        <v>336</v>
      </c>
      <c r="J27" s="19">
        <v>96</v>
      </c>
      <c r="K27" s="19">
        <v>0</v>
      </c>
      <c r="L27" s="56">
        <v>0</v>
      </c>
      <c r="M27" s="19">
        <v>1</v>
      </c>
      <c r="N27" s="57">
        <v>45661</v>
      </c>
      <c r="O27" s="58">
        <v>0</v>
      </c>
      <c r="P27" s="58">
        <v>5</v>
      </c>
      <c r="Q27" s="57">
        <v>45720</v>
      </c>
      <c r="R27" s="58">
        <v>12</v>
      </c>
      <c r="S27" s="58">
        <v>50</v>
      </c>
      <c r="T27" s="57">
        <v>45692</v>
      </c>
      <c r="U27" s="58">
        <v>18</v>
      </c>
      <c r="V27" s="58">
        <v>25</v>
      </c>
      <c r="W27" s="57">
        <v>1</v>
      </c>
      <c r="X27" s="58">
        <v>0</v>
      </c>
      <c r="Y27" s="58">
        <v>0</v>
      </c>
      <c r="Z27" s="58">
        <v>32</v>
      </c>
      <c r="AA27" s="58">
        <v>70</v>
      </c>
      <c r="AB27" s="58">
        <v>18</v>
      </c>
      <c r="AC27" s="58">
        <v>0</v>
      </c>
      <c r="AD27" s="58">
        <v>100</v>
      </c>
      <c r="AE27" s="58">
        <v>100</v>
      </c>
      <c r="AF27" s="58">
        <v>100</v>
      </c>
      <c r="AG27" s="59">
        <v>0</v>
      </c>
    </row>
    <row r="28" spans="1:33" ht="44.25" thickBot="1">
      <c r="A28" s="25">
        <v>3</v>
      </c>
      <c r="B28" s="16" t="s">
        <v>34</v>
      </c>
      <c r="C28" s="19">
        <v>0</v>
      </c>
      <c r="D28" s="17">
        <v>17337</v>
      </c>
      <c r="E28" s="17">
        <v>3509</v>
      </c>
      <c r="F28" s="19">
        <v>0</v>
      </c>
      <c r="G28" s="18">
        <v>20846</v>
      </c>
      <c r="H28" s="19">
        <v>0</v>
      </c>
      <c r="I28" s="19">
        <v>412</v>
      </c>
      <c r="J28" s="19">
        <v>291</v>
      </c>
      <c r="K28" s="19">
        <v>0</v>
      </c>
      <c r="L28" s="56">
        <v>0</v>
      </c>
      <c r="M28" s="19">
        <v>1</v>
      </c>
      <c r="N28" s="57">
        <v>45661</v>
      </c>
      <c r="O28" s="58">
        <v>0</v>
      </c>
      <c r="P28" s="58">
        <v>5</v>
      </c>
      <c r="Q28" s="57">
        <v>45781</v>
      </c>
      <c r="R28" s="58">
        <v>13</v>
      </c>
      <c r="S28" s="58">
        <v>40</v>
      </c>
      <c r="T28" s="57">
        <v>45692</v>
      </c>
      <c r="U28" s="58">
        <v>18</v>
      </c>
      <c r="V28" s="58">
        <v>25</v>
      </c>
      <c r="W28" s="57">
        <v>1</v>
      </c>
      <c r="X28" s="58">
        <v>0</v>
      </c>
      <c r="Y28" s="58">
        <v>0</v>
      </c>
      <c r="Z28" s="58">
        <v>32</v>
      </c>
      <c r="AA28" s="58">
        <v>70</v>
      </c>
      <c r="AB28" s="58">
        <v>18</v>
      </c>
      <c r="AC28" s="58">
        <v>0</v>
      </c>
      <c r="AD28" s="58">
        <v>100</v>
      </c>
      <c r="AE28" s="58">
        <v>100</v>
      </c>
      <c r="AF28" s="58">
        <v>100</v>
      </c>
      <c r="AG28" s="59">
        <v>0</v>
      </c>
    </row>
    <row r="29" spans="1:33" ht="58.5" thickBot="1">
      <c r="A29" s="25">
        <v>4</v>
      </c>
      <c r="B29" s="16" t="s">
        <v>35</v>
      </c>
      <c r="C29" s="19">
        <v>0</v>
      </c>
      <c r="D29" s="17">
        <v>15557</v>
      </c>
      <c r="E29" s="17">
        <v>3881</v>
      </c>
      <c r="F29" s="19">
        <v>0</v>
      </c>
      <c r="G29" s="18">
        <v>19438</v>
      </c>
      <c r="H29" s="19">
        <v>0</v>
      </c>
      <c r="I29" s="19">
        <v>408</v>
      </c>
      <c r="J29" s="19">
        <v>376</v>
      </c>
      <c r="K29" s="19">
        <v>0</v>
      </c>
      <c r="L29" s="56">
        <v>0</v>
      </c>
      <c r="M29" s="19">
        <v>1</v>
      </c>
      <c r="N29" s="57">
        <v>45661</v>
      </c>
      <c r="O29" s="58">
        <v>0</v>
      </c>
      <c r="P29" s="58">
        <v>5</v>
      </c>
      <c r="Q29" s="57">
        <v>45692</v>
      </c>
      <c r="R29" s="58">
        <v>13</v>
      </c>
      <c r="S29" s="58">
        <v>50</v>
      </c>
      <c r="T29" s="57">
        <v>45692</v>
      </c>
      <c r="U29" s="58">
        <v>18</v>
      </c>
      <c r="V29" s="58">
        <v>30</v>
      </c>
      <c r="W29" s="57">
        <v>1</v>
      </c>
      <c r="X29" s="58">
        <v>0</v>
      </c>
      <c r="Y29" s="58">
        <v>0</v>
      </c>
      <c r="Z29" s="58">
        <v>32</v>
      </c>
      <c r="AA29" s="58">
        <v>70</v>
      </c>
      <c r="AB29" s="58">
        <v>18</v>
      </c>
      <c r="AC29" s="58">
        <v>0</v>
      </c>
      <c r="AD29" s="58">
        <v>100</v>
      </c>
      <c r="AE29" s="58">
        <v>100</v>
      </c>
      <c r="AF29" s="58">
        <v>100</v>
      </c>
      <c r="AG29" s="59">
        <v>0</v>
      </c>
    </row>
    <row r="30" spans="1:33" ht="58.5" thickBot="1">
      <c r="A30" s="25">
        <v>5</v>
      </c>
      <c r="B30" s="16" t="s">
        <v>36</v>
      </c>
      <c r="C30" s="19">
        <v>0</v>
      </c>
      <c r="D30" s="17">
        <v>12007</v>
      </c>
      <c r="E30" s="17">
        <v>3226</v>
      </c>
      <c r="F30" s="19">
        <v>0</v>
      </c>
      <c r="G30" s="18">
        <v>15233</v>
      </c>
      <c r="H30" s="19">
        <v>106</v>
      </c>
      <c r="I30" s="19">
        <v>154</v>
      </c>
      <c r="J30" s="19">
        <v>149</v>
      </c>
      <c r="K30" s="19">
        <v>0</v>
      </c>
      <c r="L30" s="56">
        <v>0</v>
      </c>
      <c r="M30" s="19">
        <v>1</v>
      </c>
      <c r="N30" s="57">
        <v>45781</v>
      </c>
      <c r="O30" s="58">
        <v>8</v>
      </c>
      <c r="P30" s="58">
        <v>0</v>
      </c>
      <c r="Q30" s="57">
        <v>45751</v>
      </c>
      <c r="R30" s="58">
        <v>12</v>
      </c>
      <c r="S30" s="58">
        <v>15</v>
      </c>
      <c r="T30" s="57">
        <v>45751</v>
      </c>
      <c r="U30" s="58">
        <v>18</v>
      </c>
      <c r="V30" s="58">
        <v>35</v>
      </c>
      <c r="W30" s="57">
        <v>1</v>
      </c>
      <c r="X30" s="58">
        <v>0</v>
      </c>
      <c r="Y30" s="58">
        <v>0</v>
      </c>
      <c r="Z30" s="58">
        <v>32</v>
      </c>
      <c r="AA30" s="58">
        <v>70</v>
      </c>
      <c r="AB30" s="58">
        <v>18</v>
      </c>
      <c r="AC30" s="58">
        <v>0</v>
      </c>
      <c r="AD30" s="58">
        <v>100</v>
      </c>
      <c r="AE30" s="58">
        <v>100</v>
      </c>
      <c r="AF30" s="58">
        <v>100</v>
      </c>
      <c r="AG30" s="59">
        <v>0</v>
      </c>
    </row>
    <row r="31" spans="1:33" ht="44.25" thickBot="1">
      <c r="A31" s="25">
        <v>6</v>
      </c>
      <c r="B31" s="16" t="s">
        <v>37</v>
      </c>
      <c r="C31" s="19">
        <v>496</v>
      </c>
      <c r="D31" s="17">
        <v>8201</v>
      </c>
      <c r="E31" s="17">
        <v>1895</v>
      </c>
      <c r="F31" s="19">
        <v>0</v>
      </c>
      <c r="G31" s="18">
        <v>10591</v>
      </c>
      <c r="H31" s="19">
        <v>58</v>
      </c>
      <c r="I31" s="19">
        <v>127</v>
      </c>
      <c r="J31" s="19">
        <v>80</v>
      </c>
      <c r="K31" s="19">
        <v>0</v>
      </c>
      <c r="L31" s="56">
        <v>0</v>
      </c>
      <c r="M31" s="19">
        <v>1</v>
      </c>
      <c r="N31" s="57">
        <v>45781</v>
      </c>
      <c r="O31" s="58">
        <v>8</v>
      </c>
      <c r="P31" s="58">
        <v>0</v>
      </c>
      <c r="Q31" s="57">
        <v>45781</v>
      </c>
      <c r="R31" s="58">
        <v>12</v>
      </c>
      <c r="S31" s="58">
        <v>30</v>
      </c>
      <c r="T31" s="57">
        <v>45751</v>
      </c>
      <c r="U31" s="58">
        <v>18</v>
      </c>
      <c r="V31" s="58">
        <v>15</v>
      </c>
      <c r="W31" s="57">
        <v>1</v>
      </c>
      <c r="X31" s="58">
        <v>0</v>
      </c>
      <c r="Y31" s="58">
        <v>0</v>
      </c>
      <c r="Z31" s="58">
        <v>32</v>
      </c>
      <c r="AA31" s="58">
        <v>70</v>
      </c>
      <c r="AB31" s="58">
        <v>18</v>
      </c>
      <c r="AC31" s="58">
        <v>0</v>
      </c>
      <c r="AD31" s="58">
        <v>100</v>
      </c>
      <c r="AE31" s="58">
        <v>100</v>
      </c>
      <c r="AF31" s="58">
        <v>100</v>
      </c>
      <c r="AG31" s="59">
        <v>0</v>
      </c>
    </row>
    <row r="32" spans="1:33" ht="58.5" thickBot="1">
      <c r="A32" s="25">
        <v>7</v>
      </c>
      <c r="B32" s="16" t="s">
        <v>38</v>
      </c>
      <c r="C32" s="19">
        <v>0</v>
      </c>
      <c r="D32" s="19">
        <v>0</v>
      </c>
      <c r="E32" s="19">
        <v>0</v>
      </c>
      <c r="F32" s="19">
        <v>0</v>
      </c>
      <c r="G32" s="56">
        <v>0</v>
      </c>
      <c r="H32" s="19">
        <v>53</v>
      </c>
      <c r="I32" s="19">
        <v>286</v>
      </c>
      <c r="J32" s="19">
        <v>271</v>
      </c>
      <c r="K32" s="19">
        <v>0</v>
      </c>
      <c r="L32" s="56">
        <v>0</v>
      </c>
      <c r="M32" s="19"/>
      <c r="N32" s="57">
        <v>45781</v>
      </c>
      <c r="O32" s="58">
        <v>4</v>
      </c>
      <c r="P32" s="58">
        <v>55</v>
      </c>
      <c r="Q32" s="57">
        <v>45661</v>
      </c>
      <c r="R32" s="58">
        <v>13</v>
      </c>
      <c r="S32" s="58">
        <v>20</v>
      </c>
      <c r="T32" s="57">
        <v>45692</v>
      </c>
      <c r="U32" s="58">
        <v>18</v>
      </c>
      <c r="V32" s="58">
        <v>15</v>
      </c>
      <c r="W32" s="57">
        <v>1</v>
      </c>
      <c r="X32" s="58">
        <v>0</v>
      </c>
      <c r="Y32" s="58">
        <v>0</v>
      </c>
      <c r="Z32" s="58">
        <v>32</v>
      </c>
      <c r="AA32" s="58">
        <v>70</v>
      </c>
      <c r="AB32" s="58">
        <v>18</v>
      </c>
      <c r="AC32" s="58">
        <v>0</v>
      </c>
      <c r="AD32" s="58">
        <v>100</v>
      </c>
      <c r="AE32" s="58">
        <v>100</v>
      </c>
      <c r="AF32" s="58">
        <v>100</v>
      </c>
      <c r="AG32" s="59">
        <v>0</v>
      </c>
    </row>
    <row r="33" spans="1:33" ht="30.75" thickBot="1">
      <c r="A33" s="22"/>
      <c r="B33" s="23" t="s">
        <v>40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spans="1:33" ht="44.25" thickBot="1">
      <c r="A34" s="25">
        <v>1</v>
      </c>
      <c r="B34" s="16" t="s">
        <v>32</v>
      </c>
      <c r="C34" s="17">
        <v>1590</v>
      </c>
      <c r="D34" s="17">
        <v>4403</v>
      </c>
      <c r="E34" s="19">
        <v>0</v>
      </c>
      <c r="F34" s="19">
        <v>0</v>
      </c>
      <c r="G34" s="18">
        <v>5992</v>
      </c>
      <c r="H34" s="19">
        <v>0</v>
      </c>
      <c r="I34" s="19">
        <v>107</v>
      </c>
      <c r="J34" s="19">
        <v>0</v>
      </c>
      <c r="K34" s="19">
        <v>0</v>
      </c>
      <c r="L34" s="56">
        <v>0</v>
      </c>
      <c r="M34" s="19">
        <v>1</v>
      </c>
      <c r="N34" s="57">
        <v>45661</v>
      </c>
      <c r="O34" s="58">
        <v>0</v>
      </c>
      <c r="P34" s="58">
        <v>5</v>
      </c>
      <c r="Q34" s="57">
        <v>45661</v>
      </c>
      <c r="R34" s="58">
        <v>12</v>
      </c>
      <c r="S34" s="58">
        <v>55</v>
      </c>
      <c r="T34" s="57">
        <v>45661</v>
      </c>
      <c r="U34" s="58">
        <v>18</v>
      </c>
      <c r="V34" s="58">
        <v>5</v>
      </c>
      <c r="W34" s="57">
        <v>1</v>
      </c>
      <c r="X34" s="58">
        <v>0</v>
      </c>
      <c r="Y34" s="58">
        <v>0</v>
      </c>
      <c r="Z34" s="58">
        <v>32</v>
      </c>
      <c r="AA34" s="58">
        <v>70</v>
      </c>
      <c r="AB34" s="58">
        <v>18</v>
      </c>
      <c r="AC34" s="58">
        <v>0</v>
      </c>
      <c r="AD34" s="58">
        <v>0</v>
      </c>
      <c r="AE34" s="58">
        <v>100</v>
      </c>
      <c r="AF34" s="58">
        <v>0</v>
      </c>
      <c r="AG34" s="59">
        <v>0</v>
      </c>
    </row>
    <row r="35" spans="1:33" ht="44.25" thickBot="1">
      <c r="A35" s="25">
        <v>2</v>
      </c>
      <c r="B35" s="16" t="s">
        <v>33</v>
      </c>
      <c r="C35" s="17">
        <v>1147</v>
      </c>
      <c r="D35" s="19">
        <v>77</v>
      </c>
      <c r="E35" s="19">
        <v>0</v>
      </c>
      <c r="F35" s="19">
        <v>0</v>
      </c>
      <c r="G35" s="18">
        <v>1224</v>
      </c>
      <c r="H35" s="19">
        <v>0</v>
      </c>
      <c r="I35" s="19">
        <v>155</v>
      </c>
      <c r="J35" s="19">
        <v>0</v>
      </c>
      <c r="K35" s="19">
        <v>0</v>
      </c>
      <c r="L35" s="56">
        <v>0</v>
      </c>
      <c r="M35" s="19">
        <v>1</v>
      </c>
      <c r="N35" s="57">
        <v>45661</v>
      </c>
      <c r="O35" s="58">
        <v>0</v>
      </c>
      <c r="P35" s="58">
        <v>5</v>
      </c>
      <c r="Q35" s="57">
        <v>45661</v>
      </c>
      <c r="R35" s="58">
        <v>12</v>
      </c>
      <c r="S35" s="58">
        <v>55</v>
      </c>
      <c r="T35" s="57">
        <v>45661</v>
      </c>
      <c r="U35" s="58">
        <v>18</v>
      </c>
      <c r="V35" s="58">
        <v>5</v>
      </c>
      <c r="W35" s="57">
        <v>1</v>
      </c>
      <c r="X35" s="58">
        <v>0</v>
      </c>
      <c r="Y35" s="58">
        <v>0</v>
      </c>
      <c r="Z35" s="58">
        <v>32</v>
      </c>
      <c r="AA35" s="58">
        <v>70</v>
      </c>
      <c r="AB35" s="58">
        <v>18</v>
      </c>
      <c r="AC35" s="58">
        <v>0</v>
      </c>
      <c r="AD35" s="58">
        <v>0</v>
      </c>
      <c r="AE35" s="58">
        <v>100</v>
      </c>
      <c r="AF35" s="58">
        <v>0</v>
      </c>
      <c r="AG35" s="59">
        <v>0</v>
      </c>
    </row>
    <row r="36" spans="1:33" ht="44.25" thickBot="1">
      <c r="A36" s="25">
        <v>3</v>
      </c>
      <c r="B36" s="16" t="s">
        <v>34</v>
      </c>
      <c r="C36" s="19">
        <v>792</v>
      </c>
      <c r="D36" s="19">
        <v>95</v>
      </c>
      <c r="E36" s="19">
        <v>0</v>
      </c>
      <c r="F36" s="19">
        <v>0</v>
      </c>
      <c r="G36" s="56">
        <v>887</v>
      </c>
      <c r="H36" s="19">
        <v>0</v>
      </c>
      <c r="I36" s="19">
        <v>238</v>
      </c>
      <c r="J36" s="19">
        <v>0</v>
      </c>
      <c r="K36" s="19">
        <v>0</v>
      </c>
      <c r="L36" s="56">
        <v>0</v>
      </c>
      <c r="M36" s="19">
        <v>1</v>
      </c>
      <c r="N36" s="57">
        <v>45661</v>
      </c>
      <c r="O36" s="58">
        <v>0</v>
      </c>
      <c r="P36" s="58">
        <v>5</v>
      </c>
      <c r="Q36" s="57">
        <v>45661</v>
      </c>
      <c r="R36" s="58">
        <v>12</v>
      </c>
      <c r="S36" s="58">
        <v>45</v>
      </c>
      <c r="T36" s="57">
        <v>45661</v>
      </c>
      <c r="U36" s="58">
        <v>18</v>
      </c>
      <c r="V36" s="58">
        <v>5</v>
      </c>
      <c r="W36" s="57">
        <v>1</v>
      </c>
      <c r="X36" s="58">
        <v>0</v>
      </c>
      <c r="Y36" s="58">
        <v>0</v>
      </c>
      <c r="Z36" s="58">
        <v>32</v>
      </c>
      <c r="AA36" s="58">
        <v>70</v>
      </c>
      <c r="AB36" s="58">
        <v>18</v>
      </c>
      <c r="AC36" s="58">
        <v>0</v>
      </c>
      <c r="AD36" s="58">
        <v>0</v>
      </c>
      <c r="AE36" s="58">
        <v>100</v>
      </c>
      <c r="AF36" s="58">
        <v>0</v>
      </c>
      <c r="AG36" s="59">
        <v>0</v>
      </c>
    </row>
    <row r="37" spans="1:33" ht="58.5" thickBot="1">
      <c r="A37" s="25">
        <v>4</v>
      </c>
      <c r="B37" s="16" t="s">
        <v>35</v>
      </c>
      <c r="C37" s="19">
        <v>892</v>
      </c>
      <c r="D37" s="19">
        <v>56</v>
      </c>
      <c r="E37" s="19">
        <v>0</v>
      </c>
      <c r="F37" s="19">
        <v>0</v>
      </c>
      <c r="G37" s="56">
        <v>948</v>
      </c>
      <c r="H37" s="19">
        <v>0</v>
      </c>
      <c r="I37" s="19">
        <v>168</v>
      </c>
      <c r="J37" s="19">
        <v>0</v>
      </c>
      <c r="K37" s="19">
        <v>0</v>
      </c>
      <c r="L37" s="56">
        <v>0</v>
      </c>
      <c r="M37" s="19">
        <v>1</v>
      </c>
      <c r="N37" s="57">
        <v>45661</v>
      </c>
      <c r="O37" s="58">
        <v>0</v>
      </c>
      <c r="P37" s="58">
        <v>5</v>
      </c>
      <c r="Q37" s="57">
        <v>45661</v>
      </c>
      <c r="R37" s="58">
        <v>12</v>
      </c>
      <c r="S37" s="58">
        <v>50</v>
      </c>
      <c r="T37" s="57">
        <v>45661</v>
      </c>
      <c r="U37" s="58">
        <v>18</v>
      </c>
      <c r="V37" s="58">
        <v>5</v>
      </c>
      <c r="W37" s="57">
        <v>1</v>
      </c>
      <c r="X37" s="58">
        <v>0</v>
      </c>
      <c r="Y37" s="58">
        <v>0</v>
      </c>
      <c r="Z37" s="58">
        <v>32</v>
      </c>
      <c r="AA37" s="58">
        <v>70</v>
      </c>
      <c r="AB37" s="58">
        <v>18</v>
      </c>
      <c r="AC37" s="58">
        <v>0</v>
      </c>
      <c r="AD37" s="58">
        <v>0</v>
      </c>
      <c r="AE37" s="58">
        <v>100</v>
      </c>
      <c r="AF37" s="58">
        <v>0</v>
      </c>
      <c r="AG37" s="59">
        <v>0</v>
      </c>
    </row>
    <row r="38" spans="1:33" ht="58.5" thickBot="1">
      <c r="A38" s="25">
        <v>5</v>
      </c>
      <c r="B38" s="16" t="s">
        <v>36</v>
      </c>
      <c r="C38" s="17">
        <v>2483</v>
      </c>
      <c r="D38" s="19">
        <v>12</v>
      </c>
      <c r="E38" s="19">
        <v>0</v>
      </c>
      <c r="F38" s="19">
        <v>0</v>
      </c>
      <c r="G38" s="18">
        <v>2494</v>
      </c>
      <c r="H38" s="19">
        <v>0</v>
      </c>
      <c r="I38" s="19">
        <v>47</v>
      </c>
      <c r="J38" s="19">
        <v>0</v>
      </c>
      <c r="K38" s="19">
        <v>0</v>
      </c>
      <c r="L38" s="56">
        <v>0</v>
      </c>
      <c r="M38" s="19">
        <v>1</v>
      </c>
      <c r="N38" s="57">
        <v>45661</v>
      </c>
      <c r="O38" s="58">
        <v>0</v>
      </c>
      <c r="P38" s="58">
        <v>5</v>
      </c>
      <c r="Q38" s="57">
        <v>45661</v>
      </c>
      <c r="R38" s="58">
        <v>12</v>
      </c>
      <c r="S38" s="58">
        <v>50</v>
      </c>
      <c r="T38" s="57">
        <v>45661</v>
      </c>
      <c r="U38" s="58">
        <v>18</v>
      </c>
      <c r="V38" s="58">
        <v>5</v>
      </c>
      <c r="W38" s="57">
        <v>1</v>
      </c>
      <c r="X38" s="58">
        <v>0</v>
      </c>
      <c r="Y38" s="58">
        <v>0</v>
      </c>
      <c r="Z38" s="58">
        <v>32</v>
      </c>
      <c r="AA38" s="58">
        <v>70</v>
      </c>
      <c r="AB38" s="58">
        <v>18</v>
      </c>
      <c r="AC38" s="58">
        <v>0</v>
      </c>
      <c r="AD38" s="58">
        <v>0</v>
      </c>
      <c r="AE38" s="58">
        <v>100</v>
      </c>
      <c r="AF38" s="58">
        <v>0</v>
      </c>
      <c r="AG38" s="59">
        <v>0</v>
      </c>
    </row>
    <row r="39" spans="1:33" ht="44.25" thickBot="1">
      <c r="A39" s="25">
        <v>6</v>
      </c>
      <c r="B39" s="16" t="s">
        <v>37</v>
      </c>
      <c r="C39" s="17">
        <v>1745</v>
      </c>
      <c r="D39" s="19">
        <v>0</v>
      </c>
      <c r="E39" s="19">
        <v>0</v>
      </c>
      <c r="F39" s="19">
        <v>0</v>
      </c>
      <c r="G39" s="18">
        <v>1745</v>
      </c>
      <c r="H39" s="19">
        <v>0</v>
      </c>
      <c r="I39" s="19">
        <v>0</v>
      </c>
      <c r="J39" s="19">
        <v>0</v>
      </c>
      <c r="K39" s="19">
        <v>0</v>
      </c>
      <c r="L39" s="56">
        <v>0</v>
      </c>
      <c r="M39" s="19">
        <v>1</v>
      </c>
      <c r="N39" s="57">
        <v>45661</v>
      </c>
      <c r="O39" s="58">
        <v>0</v>
      </c>
      <c r="P39" s="58">
        <v>5</v>
      </c>
      <c r="Q39" s="57">
        <v>45661</v>
      </c>
      <c r="R39" s="58">
        <v>6</v>
      </c>
      <c r="S39" s="58">
        <v>5</v>
      </c>
      <c r="T39" s="57">
        <v>45661</v>
      </c>
      <c r="U39" s="58">
        <v>18</v>
      </c>
      <c r="V39" s="58">
        <v>5</v>
      </c>
      <c r="W39" s="57">
        <v>1</v>
      </c>
      <c r="X39" s="58">
        <v>0</v>
      </c>
      <c r="Y39" s="58">
        <v>0</v>
      </c>
      <c r="Z39" s="58">
        <v>32</v>
      </c>
      <c r="AA39" s="58">
        <v>70</v>
      </c>
      <c r="AB39" s="58">
        <v>18</v>
      </c>
      <c r="AC39" s="58">
        <v>0</v>
      </c>
      <c r="AD39" s="58">
        <v>0</v>
      </c>
      <c r="AE39" s="58">
        <v>0</v>
      </c>
      <c r="AF39" s="58">
        <v>0</v>
      </c>
      <c r="AG39" s="59">
        <v>0</v>
      </c>
    </row>
    <row r="40" spans="1:33" ht="58.5" thickBot="1">
      <c r="A40" s="25">
        <v>7</v>
      </c>
      <c r="B40" s="16" t="s">
        <v>38</v>
      </c>
      <c r="C40" s="17">
        <v>1024</v>
      </c>
      <c r="D40" s="17">
        <v>10656</v>
      </c>
      <c r="E40" s="17">
        <v>3891</v>
      </c>
      <c r="F40" s="19">
        <v>0</v>
      </c>
      <c r="G40" s="18">
        <v>15572</v>
      </c>
      <c r="H40" s="19">
        <v>0</v>
      </c>
      <c r="I40" s="19">
        <v>0</v>
      </c>
      <c r="J40" s="19">
        <v>0</v>
      </c>
      <c r="K40" s="19">
        <v>0</v>
      </c>
      <c r="L40" s="56">
        <v>0</v>
      </c>
      <c r="M40" s="19">
        <v>1</v>
      </c>
      <c r="N40" s="57">
        <v>45661</v>
      </c>
      <c r="O40" s="58">
        <v>0</v>
      </c>
      <c r="P40" s="58">
        <v>5</v>
      </c>
      <c r="Q40" s="57">
        <v>45661</v>
      </c>
      <c r="R40" s="58">
        <v>6</v>
      </c>
      <c r="S40" s="58">
        <v>5</v>
      </c>
      <c r="T40" s="57">
        <v>45661</v>
      </c>
      <c r="U40" s="58">
        <v>18</v>
      </c>
      <c r="V40" s="58">
        <v>5</v>
      </c>
      <c r="W40" s="57">
        <v>1</v>
      </c>
      <c r="X40" s="58">
        <v>0</v>
      </c>
      <c r="Y40" s="58">
        <v>0</v>
      </c>
      <c r="Z40" s="58">
        <v>32</v>
      </c>
      <c r="AA40" s="58">
        <v>70</v>
      </c>
      <c r="AB40" s="58">
        <v>18</v>
      </c>
      <c r="AC40" s="58">
        <v>0</v>
      </c>
      <c r="AD40" s="58">
        <v>0</v>
      </c>
      <c r="AE40" s="58">
        <v>0</v>
      </c>
      <c r="AF40" s="58">
        <v>0</v>
      </c>
      <c r="AG40" s="59">
        <v>0</v>
      </c>
    </row>
    <row r="41" spans="1:33" ht="30.75" thickBot="1">
      <c r="A41" s="22"/>
      <c r="B41" s="23" t="s">
        <v>41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spans="1:33" ht="44.25" thickBot="1">
      <c r="A42" s="25">
        <v>1</v>
      </c>
      <c r="B42" s="16" t="s">
        <v>32</v>
      </c>
      <c r="C42" s="19">
        <v>0</v>
      </c>
      <c r="D42" s="17">
        <v>1418</v>
      </c>
      <c r="E42" s="17">
        <v>1635</v>
      </c>
      <c r="F42" s="19">
        <v>0</v>
      </c>
      <c r="G42" s="18">
        <v>3054</v>
      </c>
      <c r="H42" s="19">
        <v>70</v>
      </c>
      <c r="I42" s="19">
        <v>107</v>
      </c>
      <c r="J42" s="19">
        <v>107</v>
      </c>
      <c r="K42" s="19">
        <v>0</v>
      </c>
      <c r="L42" s="56">
        <v>0</v>
      </c>
      <c r="M42" s="19">
        <v>1</v>
      </c>
      <c r="N42" s="57">
        <v>45781</v>
      </c>
      <c r="O42" s="58">
        <v>7</v>
      </c>
      <c r="P42" s="58">
        <v>25</v>
      </c>
      <c r="Q42" s="57">
        <v>45661</v>
      </c>
      <c r="R42" s="58">
        <v>15</v>
      </c>
      <c r="S42" s="58">
        <v>0</v>
      </c>
      <c r="T42" s="57">
        <v>45751</v>
      </c>
      <c r="U42" s="58">
        <v>18</v>
      </c>
      <c r="V42" s="58">
        <v>20</v>
      </c>
      <c r="W42" s="57">
        <v>1</v>
      </c>
      <c r="X42" s="58">
        <v>0</v>
      </c>
      <c r="Y42" s="58">
        <v>0</v>
      </c>
      <c r="Z42" s="58">
        <v>32</v>
      </c>
      <c r="AA42" s="58">
        <v>70</v>
      </c>
      <c r="AB42" s="58">
        <v>18</v>
      </c>
      <c r="AC42" s="58">
        <v>0</v>
      </c>
      <c r="AD42" s="58">
        <v>100</v>
      </c>
      <c r="AE42" s="58">
        <v>100</v>
      </c>
      <c r="AF42" s="58">
        <v>100</v>
      </c>
      <c r="AG42" s="59">
        <v>0</v>
      </c>
    </row>
    <row r="43" spans="1:33" ht="44.25" thickBot="1">
      <c r="A43" s="25">
        <v>2</v>
      </c>
      <c r="B43" s="16" t="s">
        <v>33</v>
      </c>
      <c r="C43" s="19">
        <v>0</v>
      </c>
      <c r="D43" s="17">
        <v>7399</v>
      </c>
      <c r="E43" s="17">
        <v>1752</v>
      </c>
      <c r="F43" s="19">
        <v>0</v>
      </c>
      <c r="G43" s="18">
        <v>9151</v>
      </c>
      <c r="H43" s="19">
        <v>41</v>
      </c>
      <c r="I43" s="19">
        <v>178</v>
      </c>
      <c r="J43" s="19">
        <v>156</v>
      </c>
      <c r="K43" s="19">
        <v>0</v>
      </c>
      <c r="L43" s="56">
        <v>0</v>
      </c>
      <c r="M43" s="19">
        <v>1</v>
      </c>
      <c r="N43" s="57">
        <v>45781</v>
      </c>
      <c r="O43" s="58">
        <v>7</v>
      </c>
      <c r="P43" s="58">
        <v>55</v>
      </c>
      <c r="Q43" s="57">
        <v>45720</v>
      </c>
      <c r="R43" s="58">
        <v>12</v>
      </c>
      <c r="S43" s="58">
        <v>45</v>
      </c>
      <c r="T43" s="57">
        <v>45692</v>
      </c>
      <c r="U43" s="58">
        <v>18</v>
      </c>
      <c r="V43" s="58">
        <v>25</v>
      </c>
      <c r="W43" s="57">
        <v>1</v>
      </c>
      <c r="X43" s="58">
        <v>0</v>
      </c>
      <c r="Y43" s="58">
        <v>0</v>
      </c>
      <c r="Z43" s="58">
        <v>32</v>
      </c>
      <c r="AA43" s="58">
        <v>70</v>
      </c>
      <c r="AB43" s="58">
        <v>18</v>
      </c>
      <c r="AC43" s="58">
        <v>0</v>
      </c>
      <c r="AD43" s="58">
        <v>100</v>
      </c>
      <c r="AE43" s="58">
        <v>100</v>
      </c>
      <c r="AF43" s="58">
        <v>100</v>
      </c>
      <c r="AG43" s="59">
        <v>0</v>
      </c>
    </row>
    <row r="44" spans="1:33" ht="44.25" thickBot="1">
      <c r="A44" s="25">
        <v>3</v>
      </c>
      <c r="B44" s="16" t="s">
        <v>34</v>
      </c>
      <c r="C44" s="19">
        <v>0</v>
      </c>
      <c r="D44" s="17">
        <v>11094</v>
      </c>
      <c r="E44" s="17">
        <v>3227</v>
      </c>
      <c r="F44" s="19">
        <v>0</v>
      </c>
      <c r="G44" s="18">
        <v>14321</v>
      </c>
      <c r="H44" s="19">
        <v>46</v>
      </c>
      <c r="I44" s="19">
        <v>238</v>
      </c>
      <c r="J44" s="19">
        <v>238</v>
      </c>
      <c r="K44" s="19">
        <v>0</v>
      </c>
      <c r="L44" s="56">
        <v>0</v>
      </c>
      <c r="M44" s="19">
        <v>1</v>
      </c>
      <c r="N44" s="57">
        <v>45781</v>
      </c>
      <c r="O44" s="58">
        <v>7</v>
      </c>
      <c r="P44" s="58">
        <v>55</v>
      </c>
      <c r="Q44" s="57">
        <v>45661</v>
      </c>
      <c r="R44" s="58">
        <v>10</v>
      </c>
      <c r="S44" s="58">
        <v>20</v>
      </c>
      <c r="T44" s="57">
        <v>45661</v>
      </c>
      <c r="U44" s="58">
        <v>18</v>
      </c>
      <c r="V44" s="58">
        <v>15</v>
      </c>
      <c r="W44" s="57">
        <v>1</v>
      </c>
      <c r="X44" s="58">
        <v>0</v>
      </c>
      <c r="Y44" s="58">
        <v>0</v>
      </c>
      <c r="Z44" s="58">
        <v>32</v>
      </c>
      <c r="AA44" s="58">
        <v>70</v>
      </c>
      <c r="AB44" s="58">
        <v>18</v>
      </c>
      <c r="AC44" s="58">
        <v>0</v>
      </c>
      <c r="AD44" s="58">
        <v>100</v>
      </c>
      <c r="AE44" s="58">
        <v>100</v>
      </c>
      <c r="AF44" s="58">
        <v>100</v>
      </c>
      <c r="AG44" s="59">
        <v>0</v>
      </c>
    </row>
    <row r="45" spans="1:33" ht="58.5" thickBot="1">
      <c r="A45" s="25">
        <v>4</v>
      </c>
      <c r="B45" s="16" t="s">
        <v>35</v>
      </c>
      <c r="C45" s="19">
        <v>0</v>
      </c>
      <c r="D45" s="17">
        <v>7469</v>
      </c>
      <c r="E45" s="17">
        <v>2683</v>
      </c>
      <c r="F45" s="19">
        <v>0</v>
      </c>
      <c r="G45" s="18">
        <v>10152</v>
      </c>
      <c r="H45" s="19">
        <v>41</v>
      </c>
      <c r="I45" s="19">
        <v>168</v>
      </c>
      <c r="J45" s="19">
        <v>168</v>
      </c>
      <c r="K45" s="19">
        <v>0</v>
      </c>
      <c r="L45" s="56">
        <v>0</v>
      </c>
      <c r="M45" s="19">
        <v>1</v>
      </c>
      <c r="N45" s="57">
        <v>45781</v>
      </c>
      <c r="O45" s="58">
        <v>8</v>
      </c>
      <c r="P45" s="58">
        <v>0</v>
      </c>
      <c r="Q45" s="57">
        <v>45661</v>
      </c>
      <c r="R45" s="58">
        <v>11</v>
      </c>
      <c r="S45" s="58">
        <v>10</v>
      </c>
      <c r="T45" s="57">
        <v>45661</v>
      </c>
      <c r="U45" s="58">
        <v>18</v>
      </c>
      <c r="V45" s="58">
        <v>15</v>
      </c>
      <c r="W45" s="57">
        <v>1</v>
      </c>
      <c r="X45" s="58">
        <v>0</v>
      </c>
      <c r="Y45" s="58">
        <v>0</v>
      </c>
      <c r="Z45" s="58">
        <v>32</v>
      </c>
      <c r="AA45" s="58">
        <v>70</v>
      </c>
      <c r="AB45" s="58">
        <v>18</v>
      </c>
      <c r="AC45" s="58">
        <v>0</v>
      </c>
      <c r="AD45" s="58">
        <v>100</v>
      </c>
      <c r="AE45" s="58">
        <v>100</v>
      </c>
      <c r="AF45" s="58">
        <v>100</v>
      </c>
      <c r="AG45" s="59">
        <v>0</v>
      </c>
    </row>
    <row r="46" spans="1:33" ht="58.5" thickBot="1">
      <c r="A46" s="25">
        <v>5</v>
      </c>
      <c r="B46" s="16" t="s">
        <v>36</v>
      </c>
      <c r="C46" s="19">
        <v>0</v>
      </c>
      <c r="D46" s="17">
        <v>10985</v>
      </c>
      <c r="E46" s="17">
        <v>2979</v>
      </c>
      <c r="F46" s="19">
        <v>0</v>
      </c>
      <c r="G46" s="18">
        <v>13963</v>
      </c>
      <c r="H46" s="19">
        <v>166</v>
      </c>
      <c r="I46" s="19">
        <v>169</v>
      </c>
      <c r="J46" s="19">
        <v>169</v>
      </c>
      <c r="K46" s="19">
        <v>0</v>
      </c>
      <c r="L46" s="56">
        <v>0</v>
      </c>
      <c r="M46" s="19">
        <v>1</v>
      </c>
      <c r="N46" s="57">
        <v>45781</v>
      </c>
      <c r="O46" s="58">
        <v>8</v>
      </c>
      <c r="P46" s="58">
        <v>0</v>
      </c>
      <c r="Q46" s="57">
        <v>45661</v>
      </c>
      <c r="R46" s="58">
        <v>10</v>
      </c>
      <c r="S46" s="58">
        <v>15</v>
      </c>
      <c r="T46" s="57">
        <v>45661</v>
      </c>
      <c r="U46" s="58">
        <v>18</v>
      </c>
      <c r="V46" s="58">
        <v>40</v>
      </c>
      <c r="W46" s="57">
        <v>1</v>
      </c>
      <c r="X46" s="58">
        <v>0</v>
      </c>
      <c r="Y46" s="58">
        <v>0</v>
      </c>
      <c r="Z46" s="58">
        <v>32</v>
      </c>
      <c r="AA46" s="58">
        <v>70</v>
      </c>
      <c r="AB46" s="58">
        <v>18</v>
      </c>
      <c r="AC46" s="58">
        <v>0</v>
      </c>
      <c r="AD46" s="58">
        <v>100</v>
      </c>
      <c r="AE46" s="58">
        <v>100</v>
      </c>
      <c r="AF46" s="58">
        <v>100</v>
      </c>
      <c r="AG46" s="59">
        <v>0</v>
      </c>
    </row>
    <row r="47" spans="1:33" ht="44.25" thickBot="1">
      <c r="A47" s="25">
        <v>6</v>
      </c>
      <c r="B47" s="16" t="s">
        <v>37</v>
      </c>
      <c r="C47" s="19">
        <v>0</v>
      </c>
      <c r="D47" s="17">
        <v>3988</v>
      </c>
      <c r="E47" s="17">
        <v>1026</v>
      </c>
      <c r="F47" s="19">
        <v>0</v>
      </c>
      <c r="G47" s="18">
        <v>5014</v>
      </c>
      <c r="H47" s="19">
        <v>57</v>
      </c>
      <c r="I47" s="19">
        <v>57</v>
      </c>
      <c r="J47" s="19">
        <v>57</v>
      </c>
      <c r="K47" s="19">
        <v>0</v>
      </c>
      <c r="L47" s="56">
        <v>0</v>
      </c>
      <c r="M47" s="19">
        <v>1</v>
      </c>
      <c r="N47" s="57">
        <v>45692</v>
      </c>
      <c r="O47" s="58">
        <v>0</v>
      </c>
      <c r="P47" s="58">
        <v>15</v>
      </c>
      <c r="Q47" s="57">
        <v>45661</v>
      </c>
      <c r="R47" s="58">
        <v>6</v>
      </c>
      <c r="S47" s="58">
        <v>45</v>
      </c>
      <c r="T47" s="57">
        <v>45661</v>
      </c>
      <c r="U47" s="58">
        <v>18</v>
      </c>
      <c r="V47" s="58">
        <v>15</v>
      </c>
      <c r="W47" s="57">
        <v>1</v>
      </c>
      <c r="X47" s="58">
        <v>0</v>
      </c>
      <c r="Y47" s="58">
        <v>0</v>
      </c>
      <c r="Z47" s="58">
        <v>32</v>
      </c>
      <c r="AA47" s="58">
        <v>70</v>
      </c>
      <c r="AB47" s="58">
        <v>18</v>
      </c>
      <c r="AC47" s="58">
        <v>0</v>
      </c>
      <c r="AD47" s="58">
        <v>100</v>
      </c>
      <c r="AE47" s="58">
        <v>100</v>
      </c>
      <c r="AF47" s="58">
        <v>100</v>
      </c>
      <c r="AG47" s="59">
        <v>0</v>
      </c>
    </row>
    <row r="48" spans="1:33" ht="58.5" thickBot="1">
      <c r="A48" s="25">
        <v>7</v>
      </c>
      <c r="B48" s="16" t="s">
        <v>38</v>
      </c>
      <c r="C48" s="19">
        <v>0</v>
      </c>
      <c r="D48" s="19">
        <v>0</v>
      </c>
      <c r="E48" s="19">
        <v>0</v>
      </c>
      <c r="F48" s="19">
        <v>0</v>
      </c>
      <c r="G48" s="56">
        <v>0</v>
      </c>
      <c r="H48" s="19">
        <v>53</v>
      </c>
      <c r="I48" s="19">
        <v>286</v>
      </c>
      <c r="J48" s="19">
        <v>271</v>
      </c>
      <c r="K48" s="19">
        <v>0</v>
      </c>
      <c r="L48" s="56">
        <v>0</v>
      </c>
      <c r="M48" s="19"/>
      <c r="N48" s="57">
        <v>45781</v>
      </c>
      <c r="O48" s="58">
        <v>4</v>
      </c>
      <c r="P48" s="58">
        <v>55</v>
      </c>
      <c r="Q48" s="57">
        <v>45661</v>
      </c>
      <c r="R48" s="58">
        <v>13</v>
      </c>
      <c r="S48" s="58">
        <v>20</v>
      </c>
      <c r="T48" s="57">
        <v>45692</v>
      </c>
      <c r="U48" s="58">
        <v>18</v>
      </c>
      <c r="V48" s="58">
        <v>15</v>
      </c>
      <c r="W48" s="57">
        <v>1</v>
      </c>
      <c r="X48" s="58">
        <v>0</v>
      </c>
      <c r="Y48" s="58">
        <v>0</v>
      </c>
      <c r="Z48" s="58">
        <v>32</v>
      </c>
      <c r="AA48" s="58">
        <v>70</v>
      </c>
      <c r="AB48" s="58">
        <v>18</v>
      </c>
      <c r="AC48" s="58">
        <v>0</v>
      </c>
      <c r="AD48" s="58">
        <v>100</v>
      </c>
      <c r="AE48" s="58">
        <v>100</v>
      </c>
      <c r="AF48" s="58">
        <v>100</v>
      </c>
      <c r="AG48" s="59">
        <v>0</v>
      </c>
    </row>
    <row r="49" spans="1:33" ht="30.75" thickBot="1">
      <c r="A49" s="22"/>
      <c r="B49" s="23" t="s">
        <v>42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spans="1:33" ht="44.25" thickBot="1">
      <c r="A50" s="25">
        <v>1</v>
      </c>
      <c r="B50" s="16" t="s">
        <v>32</v>
      </c>
      <c r="C50" s="19">
        <v>0</v>
      </c>
      <c r="D50" s="19">
        <v>0</v>
      </c>
      <c r="E50" s="19">
        <v>0</v>
      </c>
      <c r="F50" s="19">
        <v>0</v>
      </c>
      <c r="G50" s="56">
        <v>0</v>
      </c>
      <c r="H50" s="19">
        <v>0</v>
      </c>
      <c r="I50" s="19">
        <v>0</v>
      </c>
      <c r="J50" s="19">
        <v>0</v>
      </c>
      <c r="K50" s="19">
        <v>0</v>
      </c>
      <c r="L50" s="56">
        <v>0</v>
      </c>
      <c r="M50" s="19"/>
      <c r="N50" s="57">
        <v>45661</v>
      </c>
      <c r="O50" s="58">
        <v>0</v>
      </c>
      <c r="P50" s="58">
        <v>5</v>
      </c>
      <c r="Q50" s="57">
        <v>45661</v>
      </c>
      <c r="R50" s="58">
        <v>6</v>
      </c>
      <c r="S50" s="58">
        <v>5</v>
      </c>
      <c r="T50" s="57">
        <v>45661</v>
      </c>
      <c r="U50" s="58">
        <v>18</v>
      </c>
      <c r="V50" s="58">
        <v>5</v>
      </c>
      <c r="W50" s="57">
        <v>1</v>
      </c>
      <c r="X50" s="58">
        <v>0</v>
      </c>
      <c r="Y50" s="58">
        <v>0</v>
      </c>
      <c r="Z50" s="58">
        <v>32</v>
      </c>
      <c r="AA50" s="58">
        <v>70</v>
      </c>
      <c r="AB50" s="58">
        <v>18</v>
      </c>
      <c r="AC50" s="58">
        <v>0</v>
      </c>
      <c r="AD50" s="58">
        <v>0</v>
      </c>
      <c r="AE50" s="58">
        <v>0</v>
      </c>
      <c r="AF50" s="58">
        <v>0</v>
      </c>
      <c r="AG50" s="59">
        <v>0</v>
      </c>
    </row>
    <row r="51" spans="1:33" ht="44.25" thickBot="1">
      <c r="A51" s="25">
        <v>2</v>
      </c>
      <c r="B51" s="16" t="s">
        <v>33</v>
      </c>
      <c r="C51" s="19">
        <v>0</v>
      </c>
      <c r="D51" s="19">
        <v>0</v>
      </c>
      <c r="E51" s="19">
        <v>0</v>
      </c>
      <c r="F51" s="19">
        <v>0</v>
      </c>
      <c r="G51" s="56">
        <v>0</v>
      </c>
      <c r="H51" s="19">
        <v>0</v>
      </c>
      <c r="I51" s="19">
        <v>0</v>
      </c>
      <c r="J51" s="19">
        <v>0</v>
      </c>
      <c r="K51" s="19">
        <v>0</v>
      </c>
      <c r="L51" s="56">
        <v>0</v>
      </c>
      <c r="M51" s="19"/>
      <c r="N51" s="57">
        <v>45661</v>
      </c>
      <c r="O51" s="58">
        <v>0</v>
      </c>
      <c r="P51" s="58">
        <v>5</v>
      </c>
      <c r="Q51" s="57">
        <v>45661</v>
      </c>
      <c r="R51" s="58">
        <v>6</v>
      </c>
      <c r="S51" s="58">
        <v>5</v>
      </c>
      <c r="T51" s="57">
        <v>45661</v>
      </c>
      <c r="U51" s="58">
        <v>18</v>
      </c>
      <c r="V51" s="58">
        <v>5</v>
      </c>
      <c r="W51" s="57">
        <v>1</v>
      </c>
      <c r="X51" s="58">
        <v>0</v>
      </c>
      <c r="Y51" s="58">
        <v>0</v>
      </c>
      <c r="Z51" s="58">
        <v>32</v>
      </c>
      <c r="AA51" s="58">
        <v>70</v>
      </c>
      <c r="AB51" s="58">
        <v>18</v>
      </c>
      <c r="AC51" s="58">
        <v>0</v>
      </c>
      <c r="AD51" s="58">
        <v>0</v>
      </c>
      <c r="AE51" s="58">
        <v>0</v>
      </c>
      <c r="AF51" s="58">
        <v>0</v>
      </c>
      <c r="AG51" s="59">
        <v>0</v>
      </c>
    </row>
    <row r="52" spans="1:33" ht="44.25" thickBot="1">
      <c r="A52" s="25">
        <v>3</v>
      </c>
      <c r="B52" s="16" t="s">
        <v>34</v>
      </c>
      <c r="C52" s="19">
        <v>0</v>
      </c>
      <c r="D52" s="19">
        <v>0</v>
      </c>
      <c r="E52" s="19">
        <v>0</v>
      </c>
      <c r="F52" s="19">
        <v>0</v>
      </c>
      <c r="G52" s="56">
        <v>0</v>
      </c>
      <c r="H52" s="19">
        <v>0</v>
      </c>
      <c r="I52" s="19">
        <v>0</v>
      </c>
      <c r="J52" s="19">
        <v>0</v>
      </c>
      <c r="K52" s="19">
        <v>0</v>
      </c>
      <c r="L52" s="56">
        <v>0</v>
      </c>
      <c r="M52" s="19"/>
      <c r="N52" s="57">
        <v>45661</v>
      </c>
      <c r="O52" s="58">
        <v>0</v>
      </c>
      <c r="P52" s="58">
        <v>5</v>
      </c>
      <c r="Q52" s="57">
        <v>45661</v>
      </c>
      <c r="R52" s="58">
        <v>6</v>
      </c>
      <c r="S52" s="58">
        <v>5</v>
      </c>
      <c r="T52" s="57">
        <v>45661</v>
      </c>
      <c r="U52" s="58">
        <v>18</v>
      </c>
      <c r="V52" s="58">
        <v>5</v>
      </c>
      <c r="W52" s="57">
        <v>1</v>
      </c>
      <c r="X52" s="58">
        <v>0</v>
      </c>
      <c r="Y52" s="58">
        <v>0</v>
      </c>
      <c r="Z52" s="58">
        <v>32</v>
      </c>
      <c r="AA52" s="58">
        <v>70</v>
      </c>
      <c r="AB52" s="58">
        <v>18</v>
      </c>
      <c r="AC52" s="58">
        <v>0</v>
      </c>
      <c r="AD52" s="58">
        <v>0</v>
      </c>
      <c r="AE52" s="58">
        <v>0</v>
      </c>
      <c r="AF52" s="58">
        <v>0</v>
      </c>
      <c r="AG52" s="59">
        <v>0</v>
      </c>
    </row>
    <row r="53" spans="1:33" ht="58.5" thickBot="1">
      <c r="A53" s="25">
        <v>4</v>
      </c>
      <c r="B53" s="16" t="s">
        <v>35</v>
      </c>
      <c r="C53" s="19">
        <v>0</v>
      </c>
      <c r="D53" s="19">
        <v>0</v>
      </c>
      <c r="E53" s="19">
        <v>0</v>
      </c>
      <c r="F53" s="19">
        <v>0</v>
      </c>
      <c r="G53" s="56">
        <v>0</v>
      </c>
      <c r="H53" s="19">
        <v>0</v>
      </c>
      <c r="I53" s="19">
        <v>0</v>
      </c>
      <c r="J53" s="19">
        <v>0</v>
      </c>
      <c r="K53" s="19">
        <v>0</v>
      </c>
      <c r="L53" s="56">
        <v>0</v>
      </c>
      <c r="M53" s="19"/>
      <c r="N53" s="57">
        <v>45661</v>
      </c>
      <c r="O53" s="58">
        <v>0</v>
      </c>
      <c r="P53" s="58">
        <v>5</v>
      </c>
      <c r="Q53" s="57">
        <v>45661</v>
      </c>
      <c r="R53" s="58">
        <v>6</v>
      </c>
      <c r="S53" s="58">
        <v>5</v>
      </c>
      <c r="T53" s="57">
        <v>45661</v>
      </c>
      <c r="U53" s="58">
        <v>18</v>
      </c>
      <c r="V53" s="58">
        <v>5</v>
      </c>
      <c r="W53" s="57">
        <v>1</v>
      </c>
      <c r="X53" s="58">
        <v>0</v>
      </c>
      <c r="Y53" s="58">
        <v>0</v>
      </c>
      <c r="Z53" s="58">
        <v>32</v>
      </c>
      <c r="AA53" s="58">
        <v>70</v>
      </c>
      <c r="AB53" s="58">
        <v>18</v>
      </c>
      <c r="AC53" s="58">
        <v>0</v>
      </c>
      <c r="AD53" s="58">
        <v>0</v>
      </c>
      <c r="AE53" s="58">
        <v>0</v>
      </c>
      <c r="AF53" s="58">
        <v>0</v>
      </c>
      <c r="AG53" s="59">
        <v>0</v>
      </c>
    </row>
    <row r="54" spans="1:33" ht="58.5" thickBot="1">
      <c r="A54" s="25">
        <v>5</v>
      </c>
      <c r="B54" s="16" t="s">
        <v>36</v>
      </c>
      <c r="C54" s="19">
        <v>0</v>
      </c>
      <c r="D54" s="19">
        <v>0</v>
      </c>
      <c r="E54" s="19">
        <v>0</v>
      </c>
      <c r="F54" s="19">
        <v>0</v>
      </c>
      <c r="G54" s="56">
        <v>0</v>
      </c>
      <c r="H54" s="19">
        <v>0</v>
      </c>
      <c r="I54" s="19">
        <v>0</v>
      </c>
      <c r="J54" s="19">
        <v>0</v>
      </c>
      <c r="K54" s="19">
        <v>0</v>
      </c>
      <c r="L54" s="56">
        <v>0</v>
      </c>
      <c r="M54" s="19"/>
      <c r="N54" s="57">
        <v>45661</v>
      </c>
      <c r="O54" s="58">
        <v>0</v>
      </c>
      <c r="P54" s="58">
        <v>5</v>
      </c>
      <c r="Q54" s="57">
        <v>45661</v>
      </c>
      <c r="R54" s="58">
        <v>6</v>
      </c>
      <c r="S54" s="58">
        <v>5</v>
      </c>
      <c r="T54" s="57">
        <v>45661</v>
      </c>
      <c r="U54" s="58">
        <v>18</v>
      </c>
      <c r="V54" s="58">
        <v>5</v>
      </c>
      <c r="W54" s="57">
        <v>1</v>
      </c>
      <c r="X54" s="58">
        <v>0</v>
      </c>
      <c r="Y54" s="58">
        <v>0</v>
      </c>
      <c r="Z54" s="58">
        <v>32</v>
      </c>
      <c r="AA54" s="58">
        <v>70</v>
      </c>
      <c r="AB54" s="58">
        <v>18</v>
      </c>
      <c r="AC54" s="58">
        <v>0</v>
      </c>
      <c r="AD54" s="58">
        <v>0</v>
      </c>
      <c r="AE54" s="58">
        <v>0</v>
      </c>
      <c r="AF54" s="58">
        <v>0</v>
      </c>
      <c r="AG54" s="59">
        <v>0</v>
      </c>
    </row>
    <row r="55" spans="1:33" ht="44.25" thickBot="1">
      <c r="A55" s="25">
        <v>6</v>
      </c>
      <c r="B55" s="16" t="s">
        <v>37</v>
      </c>
      <c r="C55" s="19">
        <v>0</v>
      </c>
      <c r="D55" s="19">
        <v>0</v>
      </c>
      <c r="E55" s="19">
        <v>0</v>
      </c>
      <c r="F55" s="19">
        <v>0</v>
      </c>
      <c r="G55" s="56">
        <v>0</v>
      </c>
      <c r="H55" s="19">
        <v>0</v>
      </c>
      <c r="I55" s="19">
        <v>0</v>
      </c>
      <c r="J55" s="19">
        <v>0</v>
      </c>
      <c r="K55" s="19">
        <v>0</v>
      </c>
      <c r="L55" s="56">
        <v>0</v>
      </c>
      <c r="M55" s="19"/>
      <c r="N55" s="57">
        <v>45661</v>
      </c>
      <c r="O55" s="58">
        <v>0</v>
      </c>
      <c r="P55" s="58">
        <v>5</v>
      </c>
      <c r="Q55" s="57">
        <v>45661</v>
      </c>
      <c r="R55" s="58">
        <v>6</v>
      </c>
      <c r="S55" s="58">
        <v>5</v>
      </c>
      <c r="T55" s="57">
        <v>45661</v>
      </c>
      <c r="U55" s="58">
        <v>18</v>
      </c>
      <c r="V55" s="58">
        <v>5</v>
      </c>
      <c r="W55" s="57">
        <v>1</v>
      </c>
      <c r="X55" s="58">
        <v>0</v>
      </c>
      <c r="Y55" s="58">
        <v>0</v>
      </c>
      <c r="Z55" s="58">
        <v>32</v>
      </c>
      <c r="AA55" s="58">
        <v>70</v>
      </c>
      <c r="AB55" s="58">
        <v>18</v>
      </c>
      <c r="AC55" s="58">
        <v>0</v>
      </c>
      <c r="AD55" s="58">
        <v>0</v>
      </c>
      <c r="AE55" s="58">
        <v>0</v>
      </c>
      <c r="AF55" s="58">
        <v>0</v>
      </c>
      <c r="AG55" s="59">
        <v>0</v>
      </c>
    </row>
    <row r="56" spans="1:33" ht="57.75">
      <c r="A56" s="26">
        <v>7</v>
      </c>
      <c r="B56" s="27" t="s">
        <v>38</v>
      </c>
      <c r="C56" s="60">
        <v>0</v>
      </c>
      <c r="D56" s="60">
        <v>0</v>
      </c>
      <c r="E56" s="60">
        <v>0</v>
      </c>
      <c r="F56" s="60">
        <v>0</v>
      </c>
      <c r="G56" s="61">
        <v>0</v>
      </c>
      <c r="H56" s="60">
        <v>0</v>
      </c>
      <c r="I56" s="60">
        <v>0</v>
      </c>
      <c r="J56" s="60">
        <v>0</v>
      </c>
      <c r="K56" s="60">
        <v>0</v>
      </c>
      <c r="L56" s="61">
        <v>0</v>
      </c>
      <c r="M56" s="60"/>
      <c r="N56" s="62">
        <v>45661</v>
      </c>
      <c r="O56" s="63">
        <v>0</v>
      </c>
      <c r="P56" s="63">
        <v>5</v>
      </c>
      <c r="Q56" s="62">
        <v>45661</v>
      </c>
      <c r="R56" s="63">
        <v>6</v>
      </c>
      <c r="S56" s="63">
        <v>5</v>
      </c>
      <c r="T56" s="62">
        <v>45661</v>
      </c>
      <c r="U56" s="63">
        <v>18</v>
      </c>
      <c r="V56" s="63">
        <v>5</v>
      </c>
      <c r="W56" s="62">
        <v>1</v>
      </c>
      <c r="X56" s="63">
        <v>0</v>
      </c>
      <c r="Y56" s="63">
        <v>0</v>
      </c>
      <c r="Z56" s="63">
        <v>32</v>
      </c>
      <c r="AA56" s="63">
        <v>70</v>
      </c>
      <c r="AB56" s="63">
        <v>18</v>
      </c>
      <c r="AC56" s="63">
        <v>0</v>
      </c>
      <c r="AD56" s="63">
        <v>0</v>
      </c>
      <c r="AE56" s="63">
        <v>0</v>
      </c>
      <c r="AF56" s="63">
        <v>0</v>
      </c>
      <c r="AG56" s="64">
        <v>0</v>
      </c>
    </row>
    <row r="57" spans="1:33">
      <c r="A57" s="1" t="s">
        <v>59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>
      <c r="A58" s="3" t="s">
        <v>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>
      <c r="A59" s="3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4.45" customHeight="1">
      <c r="A60" s="4" t="s">
        <v>43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 ht="15.75" thickBot="1">
      <c r="A61" s="5"/>
      <c r="B61" s="6"/>
      <c r="C61" s="7" t="s">
        <v>2</v>
      </c>
      <c r="D61" s="8"/>
      <c r="E61" s="8"/>
      <c r="F61" s="8"/>
      <c r="G61" s="9"/>
      <c r="H61" s="7" t="s">
        <v>3</v>
      </c>
      <c r="I61" s="8"/>
      <c r="J61" s="8"/>
      <c r="K61" s="9"/>
      <c r="L61" s="10" t="s">
        <v>4</v>
      </c>
      <c r="M61" s="10" t="s">
        <v>5</v>
      </c>
      <c r="N61" s="7" t="s">
        <v>6</v>
      </c>
      <c r="O61" s="8"/>
      <c r="P61" s="9"/>
      <c r="Q61" s="7" t="s">
        <v>7</v>
      </c>
      <c r="R61" s="8"/>
      <c r="S61" s="9"/>
      <c r="T61" s="7" t="s">
        <v>8</v>
      </c>
      <c r="U61" s="8"/>
      <c r="V61" s="9"/>
      <c r="W61" s="7" t="s">
        <v>9</v>
      </c>
      <c r="X61" s="8"/>
      <c r="Y61" s="9"/>
      <c r="Z61" s="7" t="s">
        <v>10</v>
      </c>
      <c r="AA61" s="8"/>
      <c r="AB61" s="8"/>
      <c r="AC61" s="9"/>
      <c r="AD61" s="7" t="s">
        <v>11</v>
      </c>
      <c r="AE61" s="8"/>
      <c r="AF61" s="8"/>
      <c r="AG61" s="8"/>
    </row>
    <row r="62" spans="1:33" ht="60.75" thickBot="1">
      <c r="A62" s="11"/>
      <c r="B62" s="12"/>
      <c r="C62" s="13" t="s">
        <v>12</v>
      </c>
      <c r="D62" s="13" t="s">
        <v>13</v>
      </c>
      <c r="E62" s="13" t="s">
        <v>14</v>
      </c>
      <c r="F62" s="13" t="s">
        <v>15</v>
      </c>
      <c r="G62" s="13" t="s">
        <v>16</v>
      </c>
      <c r="H62" s="13" t="s">
        <v>12</v>
      </c>
      <c r="I62" s="13" t="s">
        <v>13</v>
      </c>
      <c r="J62" s="13" t="s">
        <v>14</v>
      </c>
      <c r="K62" s="13" t="s">
        <v>15</v>
      </c>
      <c r="L62" s="14"/>
      <c r="M62" s="14"/>
      <c r="N62" s="13" t="s">
        <v>17</v>
      </c>
      <c r="O62" s="13" t="s">
        <v>18</v>
      </c>
      <c r="P62" s="13" t="s">
        <v>19</v>
      </c>
      <c r="Q62" s="13" t="s">
        <v>17</v>
      </c>
      <c r="R62" s="13" t="s">
        <v>18</v>
      </c>
      <c r="S62" s="13" t="s">
        <v>19</v>
      </c>
      <c r="T62" s="13" t="s">
        <v>17</v>
      </c>
      <c r="U62" s="13" t="s">
        <v>18</v>
      </c>
      <c r="V62" s="13" t="s">
        <v>19</v>
      </c>
      <c r="W62" s="13" t="s">
        <v>17</v>
      </c>
      <c r="X62" s="13" t="s">
        <v>18</v>
      </c>
      <c r="Y62" s="13" t="s">
        <v>19</v>
      </c>
      <c r="Z62" s="13" t="s">
        <v>12</v>
      </c>
      <c r="AA62" s="13" t="s">
        <v>13</v>
      </c>
      <c r="AB62" s="13" t="s">
        <v>14</v>
      </c>
      <c r="AC62" s="13" t="s">
        <v>15</v>
      </c>
      <c r="AD62" s="13" t="s">
        <v>12</v>
      </c>
      <c r="AE62" s="13" t="s">
        <v>13</v>
      </c>
      <c r="AF62" s="13" t="s">
        <v>14</v>
      </c>
      <c r="AG62" s="55" t="s">
        <v>15</v>
      </c>
    </row>
    <row r="63" spans="1:33" ht="30" thickBot="1">
      <c r="A63" s="15" t="s">
        <v>20</v>
      </c>
      <c r="B63" s="16" t="s">
        <v>21</v>
      </c>
      <c r="C63" s="17">
        <v>84593</v>
      </c>
      <c r="D63" s="17">
        <v>140891</v>
      </c>
      <c r="E63" s="17">
        <v>12032</v>
      </c>
      <c r="F63" s="19">
        <v>0</v>
      </c>
      <c r="G63" s="18">
        <v>237516</v>
      </c>
      <c r="H63" s="19">
        <v>756</v>
      </c>
      <c r="I63" s="19">
        <v>790</v>
      </c>
      <c r="J63" s="19">
        <v>743</v>
      </c>
      <c r="K63" s="19">
        <v>0</v>
      </c>
      <c r="L63" s="56">
        <v>0</v>
      </c>
      <c r="M63" s="19">
        <v>1</v>
      </c>
      <c r="N63" s="58" t="s">
        <v>44</v>
      </c>
      <c r="O63" s="58">
        <v>10</v>
      </c>
      <c r="P63" s="58">
        <v>55</v>
      </c>
      <c r="Q63" s="58" t="s">
        <v>45</v>
      </c>
      <c r="R63" s="58">
        <v>10</v>
      </c>
      <c r="S63" s="58">
        <v>50</v>
      </c>
      <c r="T63" s="58" t="s">
        <v>45</v>
      </c>
      <c r="U63" s="58">
        <v>20</v>
      </c>
      <c r="V63" s="58">
        <v>45</v>
      </c>
      <c r="W63" s="57">
        <v>1</v>
      </c>
      <c r="X63" s="58">
        <v>0</v>
      </c>
      <c r="Y63" s="58">
        <v>0</v>
      </c>
      <c r="Z63" s="58">
        <v>205</v>
      </c>
      <c r="AA63" s="58">
        <v>359</v>
      </c>
      <c r="AB63" s="58">
        <v>36</v>
      </c>
      <c r="AC63" s="58">
        <v>0</v>
      </c>
      <c r="AD63" s="58">
        <v>100</v>
      </c>
      <c r="AE63" s="58">
        <v>100</v>
      </c>
      <c r="AF63" s="58">
        <v>100</v>
      </c>
      <c r="AG63" s="59">
        <v>0</v>
      </c>
    </row>
    <row r="64" spans="1:33" ht="30" thickBot="1">
      <c r="A64" s="20"/>
      <c r="B64" s="16" t="s">
        <v>22</v>
      </c>
      <c r="C64" s="17">
        <v>7415</v>
      </c>
      <c r="D64" s="17">
        <v>26098</v>
      </c>
      <c r="E64" s="17">
        <v>2206</v>
      </c>
      <c r="F64" s="19">
        <v>0</v>
      </c>
      <c r="G64" s="18">
        <v>35719</v>
      </c>
      <c r="H64" s="19">
        <v>270</v>
      </c>
      <c r="I64" s="19">
        <v>336</v>
      </c>
      <c r="J64" s="19">
        <v>242</v>
      </c>
      <c r="K64" s="19">
        <v>0</v>
      </c>
      <c r="L64" s="56">
        <v>0</v>
      </c>
      <c r="M64" s="19">
        <v>1</v>
      </c>
      <c r="N64" s="58" t="s">
        <v>46</v>
      </c>
      <c r="O64" s="58">
        <v>16</v>
      </c>
      <c r="P64" s="58">
        <v>15</v>
      </c>
      <c r="Q64" s="58" t="s">
        <v>47</v>
      </c>
      <c r="R64" s="58">
        <v>12</v>
      </c>
      <c r="S64" s="58">
        <v>0</v>
      </c>
      <c r="T64" s="57">
        <v>45873</v>
      </c>
      <c r="U64" s="58">
        <v>20</v>
      </c>
      <c r="V64" s="58">
        <v>15</v>
      </c>
      <c r="W64" s="57">
        <v>1</v>
      </c>
      <c r="X64" s="58">
        <v>0</v>
      </c>
      <c r="Y64" s="58">
        <v>0</v>
      </c>
      <c r="Z64" s="58">
        <v>205</v>
      </c>
      <c r="AA64" s="58">
        <v>359</v>
      </c>
      <c r="AB64" s="58">
        <v>36</v>
      </c>
      <c r="AC64" s="58">
        <v>0</v>
      </c>
      <c r="AD64" s="58">
        <v>100</v>
      </c>
      <c r="AE64" s="58">
        <v>100</v>
      </c>
      <c r="AF64" s="58">
        <v>100</v>
      </c>
      <c r="AG64" s="59">
        <v>0</v>
      </c>
    </row>
    <row r="65" spans="1:33" ht="44.25" thickBot="1">
      <c r="A65" s="20"/>
      <c r="B65" s="16" t="s">
        <v>23</v>
      </c>
      <c r="C65" s="17">
        <v>7415</v>
      </c>
      <c r="D65" s="17">
        <v>26098</v>
      </c>
      <c r="E65" s="17">
        <v>2206</v>
      </c>
      <c r="F65" s="19">
        <v>0</v>
      </c>
      <c r="G65" s="18">
        <v>35719</v>
      </c>
      <c r="H65" s="19">
        <v>270</v>
      </c>
      <c r="I65" s="19">
        <v>336</v>
      </c>
      <c r="J65" s="19">
        <v>242</v>
      </c>
      <c r="K65" s="19">
        <v>0</v>
      </c>
      <c r="L65" s="18">
        <v>12790</v>
      </c>
      <c r="M65" s="19">
        <v>0.9415</v>
      </c>
      <c r="N65" s="58" t="s">
        <v>46</v>
      </c>
      <c r="O65" s="58">
        <v>16</v>
      </c>
      <c r="P65" s="58">
        <v>15</v>
      </c>
      <c r="Q65" s="58" t="s">
        <v>47</v>
      </c>
      <c r="R65" s="58">
        <v>12</v>
      </c>
      <c r="S65" s="58">
        <v>0</v>
      </c>
      <c r="T65" s="57">
        <v>45873</v>
      </c>
      <c r="U65" s="58">
        <v>20</v>
      </c>
      <c r="V65" s="58">
        <v>15</v>
      </c>
      <c r="W65" s="57">
        <v>1</v>
      </c>
      <c r="X65" s="58">
        <v>0</v>
      </c>
      <c r="Y65" s="58">
        <v>0</v>
      </c>
      <c r="Z65" s="58">
        <v>205</v>
      </c>
      <c r="AA65" s="58">
        <v>359</v>
      </c>
      <c r="AB65" s="58">
        <v>36</v>
      </c>
      <c r="AC65" s="58">
        <v>0</v>
      </c>
      <c r="AD65" s="58">
        <v>90.17</v>
      </c>
      <c r="AE65" s="58">
        <v>94.78</v>
      </c>
      <c r="AF65" s="58">
        <v>97.9</v>
      </c>
      <c r="AG65" s="59">
        <v>0</v>
      </c>
    </row>
    <row r="66" spans="1:33" ht="30" thickBot="1">
      <c r="A66" s="20"/>
      <c r="B66" s="16" t="s">
        <v>24</v>
      </c>
      <c r="C66" s="19">
        <v>0</v>
      </c>
      <c r="D66" s="19">
        <v>0</v>
      </c>
      <c r="E66" s="19">
        <v>0</v>
      </c>
      <c r="F66" s="19">
        <v>0</v>
      </c>
      <c r="G66" s="56">
        <v>0</v>
      </c>
      <c r="H66" s="19">
        <v>0</v>
      </c>
      <c r="I66" s="19">
        <v>0</v>
      </c>
      <c r="J66" s="19">
        <v>0</v>
      </c>
      <c r="K66" s="19">
        <v>0</v>
      </c>
      <c r="L66" s="56">
        <v>0</v>
      </c>
      <c r="M66" s="19"/>
      <c r="N66" s="57">
        <v>45812</v>
      </c>
      <c r="O66" s="58">
        <v>0</v>
      </c>
      <c r="P66" s="58">
        <v>5</v>
      </c>
      <c r="Q66" s="57">
        <v>45812</v>
      </c>
      <c r="R66" s="58">
        <v>19</v>
      </c>
      <c r="S66" s="58">
        <v>5</v>
      </c>
      <c r="T66" s="57">
        <v>45842</v>
      </c>
      <c r="U66" s="58">
        <v>20</v>
      </c>
      <c r="V66" s="58">
        <v>5</v>
      </c>
      <c r="W66" s="57">
        <v>1</v>
      </c>
      <c r="X66" s="58">
        <v>0</v>
      </c>
      <c r="Y66" s="58">
        <v>0</v>
      </c>
      <c r="Z66" s="58">
        <v>205</v>
      </c>
      <c r="AA66" s="58">
        <v>359</v>
      </c>
      <c r="AB66" s="58">
        <v>36</v>
      </c>
      <c r="AC66" s="58">
        <v>0</v>
      </c>
      <c r="AD66" s="58">
        <v>0</v>
      </c>
      <c r="AE66" s="58">
        <v>0</v>
      </c>
      <c r="AF66" s="58">
        <v>0</v>
      </c>
      <c r="AG66" s="59">
        <v>0</v>
      </c>
    </row>
    <row r="67" spans="1:33" ht="30" thickBot="1">
      <c r="A67" s="20"/>
      <c r="B67" s="16" t="s">
        <v>25</v>
      </c>
      <c r="C67" s="19">
        <v>0</v>
      </c>
      <c r="D67" s="19">
        <v>0</v>
      </c>
      <c r="E67" s="19">
        <v>0</v>
      </c>
      <c r="F67" s="19">
        <v>0</v>
      </c>
      <c r="G67" s="56">
        <v>0</v>
      </c>
      <c r="H67" s="19">
        <v>0</v>
      </c>
      <c r="I67" s="19">
        <v>0</v>
      </c>
      <c r="J67" s="19">
        <v>0</v>
      </c>
      <c r="K67" s="19">
        <v>0</v>
      </c>
      <c r="L67" s="56">
        <v>0</v>
      </c>
      <c r="M67" s="19"/>
      <c r="N67" s="57">
        <v>45812</v>
      </c>
      <c r="O67" s="58">
        <v>0</v>
      </c>
      <c r="P67" s="58">
        <v>5</v>
      </c>
      <c r="Q67" s="57">
        <v>45812</v>
      </c>
      <c r="R67" s="58">
        <v>19</v>
      </c>
      <c r="S67" s="58">
        <v>5</v>
      </c>
      <c r="T67" s="57">
        <v>45842</v>
      </c>
      <c r="U67" s="58">
        <v>20</v>
      </c>
      <c r="V67" s="58">
        <v>5</v>
      </c>
      <c r="W67" s="57">
        <v>1</v>
      </c>
      <c r="X67" s="58">
        <v>0</v>
      </c>
      <c r="Y67" s="58">
        <v>0</v>
      </c>
      <c r="Z67" s="58">
        <v>205</v>
      </c>
      <c r="AA67" s="58">
        <v>359</v>
      </c>
      <c r="AB67" s="58">
        <v>36</v>
      </c>
      <c r="AC67" s="58">
        <v>0</v>
      </c>
      <c r="AD67" s="58">
        <v>0</v>
      </c>
      <c r="AE67" s="58">
        <v>0</v>
      </c>
      <c r="AF67" s="58">
        <v>0</v>
      </c>
      <c r="AG67" s="59">
        <v>0</v>
      </c>
    </row>
    <row r="68" spans="1:33" ht="30" thickBot="1">
      <c r="A68" s="20"/>
      <c r="B68" s="16" t="s">
        <v>26</v>
      </c>
      <c r="C68" s="19">
        <v>0</v>
      </c>
      <c r="D68" s="19">
        <v>0</v>
      </c>
      <c r="E68" s="19">
        <v>0</v>
      </c>
      <c r="F68" s="19">
        <v>0</v>
      </c>
      <c r="G68" s="56">
        <v>0</v>
      </c>
      <c r="H68" s="19">
        <v>692</v>
      </c>
      <c r="I68" s="19">
        <v>679</v>
      </c>
      <c r="J68" s="19">
        <v>573</v>
      </c>
      <c r="K68" s="19">
        <v>0</v>
      </c>
      <c r="L68" s="56">
        <v>0</v>
      </c>
      <c r="M68" s="19"/>
      <c r="N68" s="58" t="s">
        <v>48</v>
      </c>
      <c r="O68" s="58">
        <v>4</v>
      </c>
      <c r="P68" s="58">
        <v>10</v>
      </c>
      <c r="Q68" s="58" t="s">
        <v>49</v>
      </c>
      <c r="R68" s="58">
        <v>24</v>
      </c>
      <c r="S68" s="58">
        <v>0</v>
      </c>
      <c r="T68" s="58" t="s">
        <v>50</v>
      </c>
      <c r="U68" s="58">
        <v>21</v>
      </c>
      <c r="V68" s="58">
        <v>50</v>
      </c>
      <c r="W68" s="57">
        <v>1</v>
      </c>
      <c r="X68" s="58">
        <v>0</v>
      </c>
      <c r="Y68" s="58">
        <v>0</v>
      </c>
      <c r="Z68" s="58">
        <v>205</v>
      </c>
      <c r="AA68" s="58">
        <v>359</v>
      </c>
      <c r="AB68" s="58">
        <v>36</v>
      </c>
      <c r="AC68" s="58">
        <v>0</v>
      </c>
      <c r="AD68" s="58">
        <v>100</v>
      </c>
      <c r="AE68" s="58">
        <v>100</v>
      </c>
      <c r="AF68" s="58">
        <v>100</v>
      </c>
      <c r="AG68" s="59">
        <v>0</v>
      </c>
    </row>
    <row r="69" spans="1:33" ht="30" thickBot="1">
      <c r="A69" s="20"/>
      <c r="B69" s="16" t="s">
        <v>27</v>
      </c>
      <c r="C69" s="17">
        <v>96272</v>
      </c>
      <c r="D69" s="17">
        <v>154810</v>
      </c>
      <c r="E69" s="17">
        <v>15925</v>
      </c>
      <c r="F69" s="19">
        <v>0</v>
      </c>
      <c r="G69" s="18">
        <v>267007</v>
      </c>
      <c r="H69" s="19">
        <v>926</v>
      </c>
      <c r="I69" s="19">
        <v>924</v>
      </c>
      <c r="J69" s="19">
        <v>907</v>
      </c>
      <c r="K69" s="19">
        <v>0</v>
      </c>
      <c r="L69" s="18">
        <v>2321</v>
      </c>
      <c r="M69" s="19">
        <v>1</v>
      </c>
      <c r="N69" s="58" t="s">
        <v>48</v>
      </c>
      <c r="O69" s="58">
        <v>6</v>
      </c>
      <c r="P69" s="58">
        <v>45</v>
      </c>
      <c r="Q69" s="58" t="s">
        <v>51</v>
      </c>
      <c r="R69" s="58">
        <v>7</v>
      </c>
      <c r="S69" s="58">
        <v>0</v>
      </c>
      <c r="T69" s="58" t="s">
        <v>52</v>
      </c>
      <c r="U69" s="58">
        <v>22</v>
      </c>
      <c r="V69" s="58">
        <v>0</v>
      </c>
      <c r="W69" s="57">
        <v>1</v>
      </c>
      <c r="X69" s="58">
        <v>0</v>
      </c>
      <c r="Y69" s="58">
        <v>0</v>
      </c>
      <c r="Z69" s="58">
        <v>205</v>
      </c>
      <c r="AA69" s="58">
        <v>359</v>
      </c>
      <c r="AB69" s="58">
        <v>36</v>
      </c>
      <c r="AC69" s="58">
        <v>0</v>
      </c>
      <c r="AD69" s="58">
        <v>99.99</v>
      </c>
      <c r="AE69" s="58">
        <v>100</v>
      </c>
      <c r="AF69" s="58">
        <v>99.98</v>
      </c>
      <c r="AG69" s="59">
        <v>0</v>
      </c>
    </row>
    <row r="70" spans="1:33" ht="30" thickBot="1">
      <c r="A70" s="20"/>
      <c r="B70" s="16" t="s">
        <v>28</v>
      </c>
      <c r="C70" s="17">
        <v>7434</v>
      </c>
      <c r="D70" s="17">
        <v>26208</v>
      </c>
      <c r="E70" s="17">
        <v>2208</v>
      </c>
      <c r="F70" s="19">
        <v>0</v>
      </c>
      <c r="G70" s="18">
        <v>35849</v>
      </c>
      <c r="H70" s="19">
        <v>292</v>
      </c>
      <c r="I70" s="19">
        <v>336</v>
      </c>
      <c r="J70" s="19">
        <v>242</v>
      </c>
      <c r="K70" s="19">
        <v>0</v>
      </c>
      <c r="L70" s="18">
        <v>12842</v>
      </c>
      <c r="M70" s="19">
        <v>0.94140000000000001</v>
      </c>
      <c r="N70" s="58" t="s">
        <v>48</v>
      </c>
      <c r="O70" s="58">
        <v>15</v>
      </c>
      <c r="P70" s="58">
        <v>45</v>
      </c>
      <c r="Q70" s="58" t="s">
        <v>47</v>
      </c>
      <c r="R70" s="58">
        <v>12</v>
      </c>
      <c r="S70" s="58">
        <v>0</v>
      </c>
      <c r="T70" s="57">
        <v>45873</v>
      </c>
      <c r="U70" s="58">
        <v>20</v>
      </c>
      <c r="V70" s="58">
        <v>15</v>
      </c>
      <c r="W70" s="57">
        <v>1</v>
      </c>
      <c r="X70" s="58">
        <v>0</v>
      </c>
      <c r="Y70" s="58">
        <v>0</v>
      </c>
      <c r="Z70" s="58">
        <v>205</v>
      </c>
      <c r="AA70" s="58">
        <v>359</v>
      </c>
      <c r="AB70" s="58">
        <v>36</v>
      </c>
      <c r="AC70" s="58">
        <v>0</v>
      </c>
      <c r="AD70" s="58">
        <v>90.19</v>
      </c>
      <c r="AE70" s="58">
        <v>94.78</v>
      </c>
      <c r="AF70" s="58">
        <v>97.9</v>
      </c>
      <c r="AG70" s="59">
        <v>0</v>
      </c>
    </row>
    <row r="71" spans="1:33" ht="30" thickBot="1">
      <c r="A71" s="20"/>
      <c r="B71" s="16" t="s">
        <v>29</v>
      </c>
      <c r="C71" s="19">
        <v>0</v>
      </c>
      <c r="D71" s="19">
        <v>0</v>
      </c>
      <c r="E71" s="19">
        <v>0</v>
      </c>
      <c r="F71" s="19">
        <v>0</v>
      </c>
      <c r="G71" s="56">
        <v>0</v>
      </c>
      <c r="H71" s="19">
        <v>0</v>
      </c>
      <c r="I71" s="19">
        <v>0</v>
      </c>
      <c r="J71" s="19">
        <v>0</v>
      </c>
      <c r="K71" s="19">
        <v>0</v>
      </c>
      <c r="L71" s="56">
        <v>0</v>
      </c>
      <c r="M71" s="19"/>
      <c r="N71" s="57">
        <v>45812</v>
      </c>
      <c r="O71" s="58">
        <v>0</v>
      </c>
      <c r="P71" s="58">
        <v>5</v>
      </c>
      <c r="Q71" s="57">
        <v>45812</v>
      </c>
      <c r="R71" s="58">
        <v>19</v>
      </c>
      <c r="S71" s="58">
        <v>5</v>
      </c>
      <c r="T71" s="57">
        <v>45842</v>
      </c>
      <c r="U71" s="58">
        <v>20</v>
      </c>
      <c r="V71" s="58">
        <v>5</v>
      </c>
      <c r="W71" s="57">
        <v>1</v>
      </c>
      <c r="X71" s="58">
        <v>0</v>
      </c>
      <c r="Y71" s="58">
        <v>0</v>
      </c>
      <c r="Z71" s="58">
        <v>205</v>
      </c>
      <c r="AA71" s="58">
        <v>359</v>
      </c>
      <c r="AB71" s="58">
        <v>36</v>
      </c>
      <c r="AC71" s="58">
        <v>0</v>
      </c>
      <c r="AD71" s="58">
        <v>0</v>
      </c>
      <c r="AE71" s="58">
        <v>0</v>
      </c>
      <c r="AF71" s="58">
        <v>0</v>
      </c>
      <c r="AG71" s="59">
        <v>0</v>
      </c>
    </row>
    <row r="72" spans="1:33" ht="30" thickBot="1">
      <c r="A72" s="21"/>
      <c r="B72" s="16" t="s">
        <v>30</v>
      </c>
      <c r="C72" s="19">
        <v>0</v>
      </c>
      <c r="D72" s="19">
        <v>0</v>
      </c>
      <c r="E72" s="19">
        <v>0</v>
      </c>
      <c r="F72" s="19">
        <v>0</v>
      </c>
      <c r="G72" s="56">
        <v>0</v>
      </c>
      <c r="H72" s="19">
        <v>0</v>
      </c>
      <c r="I72" s="19">
        <v>0</v>
      </c>
      <c r="J72" s="19">
        <v>0</v>
      </c>
      <c r="K72" s="19">
        <v>0</v>
      </c>
      <c r="L72" s="56">
        <v>0</v>
      </c>
      <c r="M72" s="19"/>
      <c r="N72" s="57">
        <v>45812</v>
      </c>
      <c r="O72" s="58">
        <v>0</v>
      </c>
      <c r="P72" s="58">
        <v>5</v>
      </c>
      <c r="Q72" s="57">
        <v>45812</v>
      </c>
      <c r="R72" s="58">
        <v>19</v>
      </c>
      <c r="S72" s="58">
        <v>5</v>
      </c>
      <c r="T72" s="57">
        <v>45842</v>
      </c>
      <c r="U72" s="58">
        <v>20</v>
      </c>
      <c r="V72" s="58">
        <v>5</v>
      </c>
      <c r="W72" s="57">
        <v>1</v>
      </c>
      <c r="X72" s="58">
        <v>0</v>
      </c>
      <c r="Y72" s="58">
        <v>0</v>
      </c>
      <c r="Z72" s="58">
        <v>205</v>
      </c>
      <c r="AA72" s="58">
        <v>359</v>
      </c>
      <c r="AB72" s="58">
        <v>36</v>
      </c>
      <c r="AC72" s="58">
        <v>0</v>
      </c>
      <c r="AD72" s="58">
        <v>0</v>
      </c>
      <c r="AE72" s="58">
        <v>0</v>
      </c>
      <c r="AF72" s="58">
        <v>0</v>
      </c>
      <c r="AG72" s="59">
        <v>0</v>
      </c>
    </row>
    <row r="73" spans="1:33" ht="15.75" thickBot="1">
      <c r="A73" s="22"/>
      <c r="B73" s="23" t="s">
        <v>31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44.25" thickBot="1">
      <c r="A74" s="25">
        <v>1</v>
      </c>
      <c r="B74" s="16" t="s">
        <v>32</v>
      </c>
      <c r="C74" s="17">
        <v>11612</v>
      </c>
      <c r="D74" s="17">
        <v>29573</v>
      </c>
      <c r="E74" s="17">
        <v>2929</v>
      </c>
      <c r="F74" s="19">
        <v>0</v>
      </c>
      <c r="G74" s="18">
        <v>44114</v>
      </c>
      <c r="H74" s="19">
        <v>134</v>
      </c>
      <c r="I74" s="19">
        <v>138</v>
      </c>
      <c r="J74" s="19">
        <v>118</v>
      </c>
      <c r="K74" s="19">
        <v>0</v>
      </c>
      <c r="L74" s="18">
        <v>17631</v>
      </c>
      <c r="M74" s="19">
        <v>0.92859999999999998</v>
      </c>
      <c r="N74" s="58" t="s">
        <v>44</v>
      </c>
      <c r="O74" s="58">
        <v>14</v>
      </c>
      <c r="P74" s="58">
        <v>35</v>
      </c>
      <c r="Q74" s="58" t="s">
        <v>53</v>
      </c>
      <c r="R74" s="58">
        <v>16</v>
      </c>
      <c r="S74" s="58">
        <v>30</v>
      </c>
      <c r="T74" s="58" t="s">
        <v>54</v>
      </c>
      <c r="U74" s="58">
        <v>21</v>
      </c>
      <c r="V74" s="58">
        <v>35</v>
      </c>
      <c r="W74" s="57">
        <v>1</v>
      </c>
      <c r="X74" s="58">
        <v>0</v>
      </c>
      <c r="Y74" s="58">
        <v>0</v>
      </c>
      <c r="Z74" s="58">
        <v>205</v>
      </c>
      <c r="AA74" s="58">
        <v>359</v>
      </c>
      <c r="AB74" s="58">
        <v>36</v>
      </c>
      <c r="AC74" s="58">
        <v>0</v>
      </c>
      <c r="AD74" s="58">
        <v>90.22</v>
      </c>
      <c r="AE74" s="58">
        <v>93.76</v>
      </c>
      <c r="AF74" s="58">
        <v>93.54</v>
      </c>
      <c r="AG74" s="59">
        <v>0</v>
      </c>
    </row>
    <row r="75" spans="1:33" ht="44.25" thickBot="1">
      <c r="A75" s="25">
        <v>2</v>
      </c>
      <c r="B75" s="16" t="s">
        <v>33</v>
      </c>
      <c r="C75" s="17">
        <v>13247</v>
      </c>
      <c r="D75" s="17">
        <v>42310</v>
      </c>
      <c r="E75" s="17">
        <v>2406</v>
      </c>
      <c r="F75" s="19">
        <v>0</v>
      </c>
      <c r="G75" s="18">
        <v>57963</v>
      </c>
      <c r="H75" s="19">
        <v>350</v>
      </c>
      <c r="I75" s="19">
        <v>357</v>
      </c>
      <c r="J75" s="19">
        <v>108</v>
      </c>
      <c r="K75" s="19">
        <v>0</v>
      </c>
      <c r="L75" s="18">
        <v>14942</v>
      </c>
      <c r="M75" s="19">
        <v>0.96830000000000005</v>
      </c>
      <c r="N75" s="57">
        <v>45812</v>
      </c>
      <c r="O75" s="58">
        <v>11</v>
      </c>
      <c r="P75" s="58">
        <v>20</v>
      </c>
      <c r="Q75" s="57">
        <v>45842</v>
      </c>
      <c r="R75" s="58">
        <v>14</v>
      </c>
      <c r="S75" s="58">
        <v>55</v>
      </c>
      <c r="T75" s="58" t="s">
        <v>54</v>
      </c>
      <c r="U75" s="58">
        <v>20</v>
      </c>
      <c r="V75" s="58">
        <v>35</v>
      </c>
      <c r="W75" s="57">
        <v>1</v>
      </c>
      <c r="X75" s="58">
        <v>0</v>
      </c>
      <c r="Y75" s="58">
        <v>0</v>
      </c>
      <c r="Z75" s="58">
        <v>205</v>
      </c>
      <c r="AA75" s="58">
        <v>359</v>
      </c>
      <c r="AB75" s="58">
        <v>36</v>
      </c>
      <c r="AC75" s="58">
        <v>0</v>
      </c>
      <c r="AD75" s="58">
        <v>97.83</v>
      </c>
      <c r="AE75" s="58">
        <v>96.12</v>
      </c>
      <c r="AF75" s="58">
        <v>100</v>
      </c>
      <c r="AG75" s="59">
        <v>0</v>
      </c>
    </row>
    <row r="76" spans="1:33" ht="44.25" thickBot="1">
      <c r="A76" s="25">
        <v>3</v>
      </c>
      <c r="B76" s="16" t="s">
        <v>34</v>
      </c>
      <c r="C76" s="17">
        <v>18712</v>
      </c>
      <c r="D76" s="17">
        <v>88620</v>
      </c>
      <c r="E76" s="17">
        <v>4050</v>
      </c>
      <c r="F76" s="19">
        <v>0</v>
      </c>
      <c r="G76" s="18">
        <v>111381</v>
      </c>
      <c r="H76" s="19">
        <v>483</v>
      </c>
      <c r="I76" s="19">
        <v>495</v>
      </c>
      <c r="J76" s="19">
        <v>256</v>
      </c>
      <c r="K76" s="19">
        <v>0</v>
      </c>
      <c r="L76" s="18">
        <v>57353</v>
      </c>
      <c r="M76" s="19">
        <v>0.8891</v>
      </c>
      <c r="N76" s="58" t="s">
        <v>48</v>
      </c>
      <c r="O76" s="58">
        <v>13</v>
      </c>
      <c r="P76" s="58">
        <v>40</v>
      </c>
      <c r="Q76" s="58" t="s">
        <v>51</v>
      </c>
      <c r="R76" s="58">
        <v>13</v>
      </c>
      <c r="S76" s="58">
        <v>5</v>
      </c>
      <c r="T76" s="57">
        <v>45965</v>
      </c>
      <c r="U76" s="58">
        <v>20</v>
      </c>
      <c r="V76" s="58">
        <v>15</v>
      </c>
      <c r="W76" s="57">
        <v>1</v>
      </c>
      <c r="X76" s="58">
        <v>0</v>
      </c>
      <c r="Y76" s="58">
        <v>0</v>
      </c>
      <c r="Z76" s="58">
        <v>205</v>
      </c>
      <c r="AA76" s="58">
        <v>359</v>
      </c>
      <c r="AB76" s="58">
        <v>36</v>
      </c>
      <c r="AC76" s="58">
        <v>0</v>
      </c>
      <c r="AD76" s="58">
        <v>86.86</v>
      </c>
      <c r="AE76" s="58">
        <v>88.84</v>
      </c>
      <c r="AF76" s="58">
        <v>97.7</v>
      </c>
      <c r="AG76" s="59">
        <v>0</v>
      </c>
    </row>
    <row r="77" spans="1:33" ht="58.5" thickBot="1">
      <c r="A77" s="25">
        <v>4</v>
      </c>
      <c r="B77" s="16" t="s">
        <v>35</v>
      </c>
      <c r="C77" s="17">
        <v>17436</v>
      </c>
      <c r="D77" s="17">
        <v>75700</v>
      </c>
      <c r="E77" s="17">
        <v>4990</v>
      </c>
      <c r="F77" s="19">
        <v>0</v>
      </c>
      <c r="G77" s="18">
        <v>98126</v>
      </c>
      <c r="H77" s="19">
        <v>506</v>
      </c>
      <c r="I77" s="19">
        <v>506</v>
      </c>
      <c r="J77" s="19">
        <v>255</v>
      </c>
      <c r="K77" s="19">
        <v>0</v>
      </c>
      <c r="L77" s="18">
        <v>30926</v>
      </c>
      <c r="M77" s="19">
        <v>0.95379999999999998</v>
      </c>
      <c r="N77" s="58" t="s">
        <v>48</v>
      </c>
      <c r="O77" s="58">
        <v>13</v>
      </c>
      <c r="P77" s="58">
        <v>45</v>
      </c>
      <c r="Q77" s="58" t="s">
        <v>53</v>
      </c>
      <c r="R77" s="58">
        <v>16</v>
      </c>
      <c r="S77" s="58">
        <v>35</v>
      </c>
      <c r="T77" s="58" t="s">
        <v>47</v>
      </c>
      <c r="U77" s="58">
        <v>20</v>
      </c>
      <c r="V77" s="58">
        <v>15</v>
      </c>
      <c r="W77" s="57">
        <v>1</v>
      </c>
      <c r="X77" s="58">
        <v>0</v>
      </c>
      <c r="Y77" s="58">
        <v>0</v>
      </c>
      <c r="Z77" s="58">
        <v>205</v>
      </c>
      <c r="AA77" s="58">
        <v>359</v>
      </c>
      <c r="AB77" s="58">
        <v>36</v>
      </c>
      <c r="AC77" s="58">
        <v>0</v>
      </c>
      <c r="AD77" s="58">
        <v>96.04</v>
      </c>
      <c r="AE77" s="58">
        <v>94.76</v>
      </c>
      <c r="AF77" s="58">
        <v>99.75</v>
      </c>
      <c r="AG77" s="59">
        <v>0</v>
      </c>
    </row>
    <row r="78" spans="1:33" ht="58.5" thickBot="1">
      <c r="A78" s="25">
        <v>5</v>
      </c>
      <c r="B78" s="16" t="s">
        <v>36</v>
      </c>
      <c r="C78" s="17">
        <v>20178</v>
      </c>
      <c r="D78" s="17">
        <v>58241</v>
      </c>
      <c r="E78" s="17">
        <v>5532</v>
      </c>
      <c r="F78" s="19">
        <v>0</v>
      </c>
      <c r="G78" s="18">
        <v>83951</v>
      </c>
      <c r="H78" s="19">
        <v>231</v>
      </c>
      <c r="I78" s="19">
        <v>240</v>
      </c>
      <c r="J78" s="19">
        <v>220</v>
      </c>
      <c r="K78" s="19">
        <v>0</v>
      </c>
      <c r="L78" s="18">
        <v>39628</v>
      </c>
      <c r="M78" s="19">
        <v>0.90429999999999999</v>
      </c>
      <c r="N78" s="58" t="s">
        <v>48</v>
      </c>
      <c r="O78" s="58">
        <v>13</v>
      </c>
      <c r="P78" s="58">
        <v>15</v>
      </c>
      <c r="Q78" s="58" t="s">
        <v>45</v>
      </c>
      <c r="R78" s="58">
        <v>16</v>
      </c>
      <c r="S78" s="58">
        <v>35</v>
      </c>
      <c r="T78" s="58" t="s">
        <v>45</v>
      </c>
      <c r="U78" s="58">
        <v>20</v>
      </c>
      <c r="V78" s="58">
        <v>35</v>
      </c>
      <c r="W78" s="57">
        <v>1</v>
      </c>
      <c r="X78" s="58">
        <v>0</v>
      </c>
      <c r="Y78" s="58">
        <v>0</v>
      </c>
      <c r="Z78" s="58">
        <v>205</v>
      </c>
      <c r="AA78" s="58">
        <v>359</v>
      </c>
      <c r="AB78" s="58">
        <v>36</v>
      </c>
      <c r="AC78" s="58">
        <v>0</v>
      </c>
      <c r="AD78" s="58">
        <v>90.61</v>
      </c>
      <c r="AE78" s="58">
        <v>90.33</v>
      </c>
      <c r="AF78" s="58">
        <v>90.78</v>
      </c>
      <c r="AG78" s="59">
        <v>0</v>
      </c>
    </row>
    <row r="79" spans="1:33" ht="44.25" thickBot="1">
      <c r="A79" s="25">
        <v>6</v>
      </c>
      <c r="B79" s="16" t="s">
        <v>37</v>
      </c>
      <c r="C79" s="17">
        <v>15298</v>
      </c>
      <c r="D79" s="17">
        <v>39451</v>
      </c>
      <c r="E79" s="17">
        <v>3141</v>
      </c>
      <c r="F79" s="19">
        <v>0</v>
      </c>
      <c r="G79" s="18">
        <v>57890</v>
      </c>
      <c r="H79" s="19">
        <v>178</v>
      </c>
      <c r="I79" s="19">
        <v>168</v>
      </c>
      <c r="J79" s="19">
        <v>128</v>
      </c>
      <c r="K79" s="19">
        <v>0</v>
      </c>
      <c r="L79" s="18">
        <v>23669</v>
      </c>
      <c r="M79" s="19">
        <v>0.92559999999999998</v>
      </c>
      <c r="N79" s="57">
        <v>45812</v>
      </c>
      <c r="O79" s="58">
        <v>11</v>
      </c>
      <c r="P79" s="58">
        <v>35</v>
      </c>
      <c r="Q79" s="58" t="s">
        <v>55</v>
      </c>
      <c r="R79" s="58">
        <v>12</v>
      </c>
      <c r="S79" s="58">
        <v>50</v>
      </c>
      <c r="T79" s="58" t="s">
        <v>50</v>
      </c>
      <c r="U79" s="58">
        <v>20</v>
      </c>
      <c r="V79" s="58">
        <v>25</v>
      </c>
      <c r="W79" s="57">
        <v>1</v>
      </c>
      <c r="X79" s="58">
        <v>0</v>
      </c>
      <c r="Y79" s="58">
        <v>0</v>
      </c>
      <c r="Z79" s="58">
        <v>205</v>
      </c>
      <c r="AA79" s="58">
        <v>359</v>
      </c>
      <c r="AB79" s="58">
        <v>36</v>
      </c>
      <c r="AC79" s="58">
        <v>0</v>
      </c>
      <c r="AD79" s="58">
        <v>91.89</v>
      </c>
      <c r="AE79" s="58">
        <v>92.84</v>
      </c>
      <c r="AF79" s="58">
        <v>92.26</v>
      </c>
      <c r="AG79" s="59">
        <v>0</v>
      </c>
    </row>
    <row r="80" spans="1:33" ht="58.5" thickBot="1">
      <c r="A80" s="25">
        <v>7</v>
      </c>
      <c r="B80" s="16" t="s">
        <v>38</v>
      </c>
      <c r="C80" s="17">
        <v>7415</v>
      </c>
      <c r="D80" s="17">
        <v>26098</v>
      </c>
      <c r="E80" s="17">
        <v>2206</v>
      </c>
      <c r="F80" s="19">
        <v>0</v>
      </c>
      <c r="G80" s="18">
        <v>35719</v>
      </c>
      <c r="H80" s="19">
        <v>270</v>
      </c>
      <c r="I80" s="19">
        <v>336</v>
      </c>
      <c r="J80" s="19">
        <v>242</v>
      </c>
      <c r="K80" s="19">
        <v>0</v>
      </c>
      <c r="L80" s="18">
        <v>12841</v>
      </c>
      <c r="M80" s="19">
        <v>0.94099999999999995</v>
      </c>
      <c r="N80" s="58" t="s">
        <v>46</v>
      </c>
      <c r="O80" s="58">
        <v>16</v>
      </c>
      <c r="P80" s="58">
        <v>15</v>
      </c>
      <c r="Q80" s="58" t="s">
        <v>47</v>
      </c>
      <c r="R80" s="58">
        <v>12</v>
      </c>
      <c r="S80" s="58">
        <v>0</v>
      </c>
      <c r="T80" s="57">
        <v>45873</v>
      </c>
      <c r="U80" s="58">
        <v>20</v>
      </c>
      <c r="V80" s="58">
        <v>15</v>
      </c>
      <c r="W80" s="57">
        <v>1</v>
      </c>
      <c r="X80" s="58">
        <v>0</v>
      </c>
      <c r="Y80" s="58">
        <v>0</v>
      </c>
      <c r="Z80" s="58">
        <v>205</v>
      </c>
      <c r="AA80" s="58">
        <v>359</v>
      </c>
      <c r="AB80" s="58">
        <v>36</v>
      </c>
      <c r="AC80" s="58">
        <v>0</v>
      </c>
      <c r="AD80" s="58">
        <v>90.14</v>
      </c>
      <c r="AE80" s="58">
        <v>94.74</v>
      </c>
      <c r="AF80" s="58">
        <v>97.89</v>
      </c>
      <c r="AG80" s="59">
        <v>0</v>
      </c>
    </row>
    <row r="81" spans="1:33" ht="15.75" thickBot="1">
      <c r="A81" s="22"/>
      <c r="B81" s="23" t="s">
        <v>39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44.25" thickBot="1">
      <c r="A82" s="25">
        <v>1</v>
      </c>
      <c r="B82" s="16" t="s">
        <v>32</v>
      </c>
      <c r="C82" s="19">
        <v>71</v>
      </c>
      <c r="D82" s="17">
        <v>11704</v>
      </c>
      <c r="E82" s="17">
        <v>1077</v>
      </c>
      <c r="F82" s="19">
        <v>0</v>
      </c>
      <c r="G82" s="18">
        <v>12852</v>
      </c>
      <c r="H82" s="19">
        <v>55</v>
      </c>
      <c r="I82" s="19">
        <v>58</v>
      </c>
      <c r="J82" s="19">
        <v>39</v>
      </c>
      <c r="K82" s="19">
        <v>0</v>
      </c>
      <c r="L82" s="56">
        <v>0</v>
      </c>
      <c r="M82" s="19">
        <v>1</v>
      </c>
      <c r="N82" s="58" t="s">
        <v>44</v>
      </c>
      <c r="O82" s="58">
        <v>14</v>
      </c>
      <c r="P82" s="58">
        <v>35</v>
      </c>
      <c r="Q82" s="58" t="s">
        <v>53</v>
      </c>
      <c r="R82" s="58">
        <v>16</v>
      </c>
      <c r="S82" s="58">
        <v>30</v>
      </c>
      <c r="T82" s="58" t="s">
        <v>54</v>
      </c>
      <c r="U82" s="58">
        <v>21</v>
      </c>
      <c r="V82" s="58">
        <v>35</v>
      </c>
      <c r="W82" s="57">
        <v>1</v>
      </c>
      <c r="X82" s="58">
        <v>0</v>
      </c>
      <c r="Y82" s="58">
        <v>0</v>
      </c>
      <c r="Z82" s="58">
        <v>205</v>
      </c>
      <c r="AA82" s="58">
        <v>359</v>
      </c>
      <c r="AB82" s="58">
        <v>36</v>
      </c>
      <c r="AC82" s="58">
        <v>0</v>
      </c>
      <c r="AD82" s="58">
        <v>100</v>
      </c>
      <c r="AE82" s="58">
        <v>100</v>
      </c>
      <c r="AF82" s="58">
        <v>100</v>
      </c>
      <c r="AG82" s="59">
        <v>0</v>
      </c>
    </row>
    <row r="83" spans="1:33" ht="44.25" thickBot="1">
      <c r="A83" s="25">
        <v>2</v>
      </c>
      <c r="B83" s="16" t="s">
        <v>33</v>
      </c>
      <c r="C83" s="17">
        <v>1695</v>
      </c>
      <c r="D83" s="17">
        <v>20455</v>
      </c>
      <c r="E83" s="19">
        <v>901</v>
      </c>
      <c r="F83" s="19">
        <v>0</v>
      </c>
      <c r="G83" s="18">
        <v>23052</v>
      </c>
      <c r="H83" s="19">
        <v>291</v>
      </c>
      <c r="I83" s="19">
        <v>298</v>
      </c>
      <c r="J83" s="19">
        <v>49</v>
      </c>
      <c r="K83" s="19">
        <v>0</v>
      </c>
      <c r="L83" s="56">
        <v>0</v>
      </c>
      <c r="M83" s="19">
        <v>1</v>
      </c>
      <c r="N83" s="57">
        <v>45812</v>
      </c>
      <c r="O83" s="58">
        <v>11</v>
      </c>
      <c r="P83" s="58">
        <v>20</v>
      </c>
      <c r="Q83" s="57">
        <v>45842</v>
      </c>
      <c r="R83" s="58">
        <v>14</v>
      </c>
      <c r="S83" s="58">
        <v>55</v>
      </c>
      <c r="T83" s="58" t="s">
        <v>54</v>
      </c>
      <c r="U83" s="58">
        <v>20</v>
      </c>
      <c r="V83" s="58">
        <v>35</v>
      </c>
      <c r="W83" s="57">
        <v>1</v>
      </c>
      <c r="X83" s="58">
        <v>0</v>
      </c>
      <c r="Y83" s="58">
        <v>0</v>
      </c>
      <c r="Z83" s="58">
        <v>205</v>
      </c>
      <c r="AA83" s="58">
        <v>359</v>
      </c>
      <c r="AB83" s="58">
        <v>36</v>
      </c>
      <c r="AC83" s="58">
        <v>0</v>
      </c>
      <c r="AD83" s="58">
        <v>100</v>
      </c>
      <c r="AE83" s="58">
        <v>100</v>
      </c>
      <c r="AF83" s="58">
        <v>100</v>
      </c>
      <c r="AG83" s="59">
        <v>0</v>
      </c>
    </row>
    <row r="84" spans="1:33" ht="44.25" thickBot="1">
      <c r="A84" s="25">
        <v>3</v>
      </c>
      <c r="B84" s="16" t="s">
        <v>34</v>
      </c>
      <c r="C84" s="17">
        <v>5803</v>
      </c>
      <c r="D84" s="17">
        <v>54567</v>
      </c>
      <c r="E84" s="17">
        <v>1683</v>
      </c>
      <c r="F84" s="19">
        <v>0</v>
      </c>
      <c r="G84" s="18">
        <v>62053</v>
      </c>
      <c r="H84" s="19">
        <v>403</v>
      </c>
      <c r="I84" s="19">
        <v>416</v>
      </c>
      <c r="J84" s="19">
        <v>177</v>
      </c>
      <c r="K84" s="19">
        <v>0</v>
      </c>
      <c r="L84" s="56">
        <v>0</v>
      </c>
      <c r="M84" s="19">
        <v>1</v>
      </c>
      <c r="N84" s="58" t="s">
        <v>48</v>
      </c>
      <c r="O84" s="58">
        <v>13</v>
      </c>
      <c r="P84" s="58">
        <v>40</v>
      </c>
      <c r="Q84" s="58" t="s">
        <v>51</v>
      </c>
      <c r="R84" s="58">
        <v>13</v>
      </c>
      <c r="S84" s="58">
        <v>5</v>
      </c>
      <c r="T84" s="57">
        <v>45965</v>
      </c>
      <c r="U84" s="58">
        <v>20</v>
      </c>
      <c r="V84" s="58">
        <v>15</v>
      </c>
      <c r="W84" s="57">
        <v>1</v>
      </c>
      <c r="X84" s="58">
        <v>0</v>
      </c>
      <c r="Y84" s="58">
        <v>0</v>
      </c>
      <c r="Z84" s="58">
        <v>205</v>
      </c>
      <c r="AA84" s="58">
        <v>359</v>
      </c>
      <c r="AB84" s="58">
        <v>36</v>
      </c>
      <c r="AC84" s="58">
        <v>0</v>
      </c>
      <c r="AD84" s="58">
        <v>100</v>
      </c>
      <c r="AE84" s="58">
        <v>100</v>
      </c>
      <c r="AF84" s="58">
        <v>100</v>
      </c>
      <c r="AG84" s="59">
        <v>0</v>
      </c>
    </row>
    <row r="85" spans="1:33" ht="58.5" thickBot="1">
      <c r="A85" s="25">
        <v>4</v>
      </c>
      <c r="B85" s="16" t="s">
        <v>35</v>
      </c>
      <c r="C85" s="17">
        <v>6493</v>
      </c>
      <c r="D85" s="17">
        <v>54253</v>
      </c>
      <c r="E85" s="17">
        <v>2506</v>
      </c>
      <c r="F85" s="19">
        <v>0</v>
      </c>
      <c r="G85" s="18">
        <v>63253</v>
      </c>
      <c r="H85" s="19">
        <v>447</v>
      </c>
      <c r="I85" s="19">
        <v>446</v>
      </c>
      <c r="J85" s="19">
        <v>196</v>
      </c>
      <c r="K85" s="19">
        <v>0</v>
      </c>
      <c r="L85" s="56">
        <v>0</v>
      </c>
      <c r="M85" s="19">
        <v>1</v>
      </c>
      <c r="N85" s="58" t="s">
        <v>48</v>
      </c>
      <c r="O85" s="58">
        <v>13</v>
      </c>
      <c r="P85" s="58">
        <v>45</v>
      </c>
      <c r="Q85" s="58" t="s">
        <v>53</v>
      </c>
      <c r="R85" s="58">
        <v>16</v>
      </c>
      <c r="S85" s="58">
        <v>35</v>
      </c>
      <c r="T85" s="58" t="s">
        <v>47</v>
      </c>
      <c r="U85" s="58">
        <v>20</v>
      </c>
      <c r="V85" s="58">
        <v>15</v>
      </c>
      <c r="W85" s="57">
        <v>1</v>
      </c>
      <c r="X85" s="58">
        <v>0</v>
      </c>
      <c r="Y85" s="58">
        <v>0</v>
      </c>
      <c r="Z85" s="58">
        <v>205</v>
      </c>
      <c r="AA85" s="58">
        <v>359</v>
      </c>
      <c r="AB85" s="58">
        <v>36</v>
      </c>
      <c r="AC85" s="58">
        <v>0</v>
      </c>
      <c r="AD85" s="58">
        <v>100</v>
      </c>
      <c r="AE85" s="58">
        <v>100</v>
      </c>
      <c r="AF85" s="58">
        <v>100</v>
      </c>
      <c r="AG85" s="59">
        <v>0</v>
      </c>
    </row>
    <row r="86" spans="1:33" ht="58.5" thickBot="1">
      <c r="A86" s="25">
        <v>5</v>
      </c>
      <c r="B86" s="16" t="s">
        <v>36</v>
      </c>
      <c r="C86" s="19">
        <v>891</v>
      </c>
      <c r="D86" s="17">
        <v>44003</v>
      </c>
      <c r="E86" s="17">
        <v>2704</v>
      </c>
      <c r="F86" s="19">
        <v>0</v>
      </c>
      <c r="G86" s="18">
        <v>47598</v>
      </c>
      <c r="H86" s="19">
        <v>171</v>
      </c>
      <c r="I86" s="19">
        <v>180</v>
      </c>
      <c r="J86" s="19">
        <v>161</v>
      </c>
      <c r="K86" s="19">
        <v>0</v>
      </c>
      <c r="L86" s="56">
        <v>0</v>
      </c>
      <c r="M86" s="19">
        <v>1</v>
      </c>
      <c r="N86" s="58" t="s">
        <v>48</v>
      </c>
      <c r="O86" s="58">
        <v>13</v>
      </c>
      <c r="P86" s="58">
        <v>15</v>
      </c>
      <c r="Q86" s="58" t="s">
        <v>45</v>
      </c>
      <c r="R86" s="58">
        <v>16</v>
      </c>
      <c r="S86" s="58">
        <v>35</v>
      </c>
      <c r="T86" s="58" t="s">
        <v>45</v>
      </c>
      <c r="U86" s="58">
        <v>20</v>
      </c>
      <c r="V86" s="58">
        <v>35</v>
      </c>
      <c r="W86" s="57">
        <v>1</v>
      </c>
      <c r="X86" s="58">
        <v>0</v>
      </c>
      <c r="Y86" s="58">
        <v>0</v>
      </c>
      <c r="Z86" s="58">
        <v>205</v>
      </c>
      <c r="AA86" s="58">
        <v>359</v>
      </c>
      <c r="AB86" s="58">
        <v>36</v>
      </c>
      <c r="AC86" s="58">
        <v>0</v>
      </c>
      <c r="AD86" s="58">
        <v>100</v>
      </c>
      <c r="AE86" s="58">
        <v>100</v>
      </c>
      <c r="AF86" s="58">
        <v>100</v>
      </c>
      <c r="AG86" s="59">
        <v>0</v>
      </c>
    </row>
    <row r="87" spans="1:33" ht="44.25" thickBot="1">
      <c r="A87" s="25">
        <v>6</v>
      </c>
      <c r="B87" s="16" t="s">
        <v>37</v>
      </c>
      <c r="C87" s="17">
        <v>4351</v>
      </c>
      <c r="D87" s="17">
        <v>34120</v>
      </c>
      <c r="E87" s="17">
        <v>2209</v>
      </c>
      <c r="F87" s="19">
        <v>0</v>
      </c>
      <c r="G87" s="18">
        <v>40681</v>
      </c>
      <c r="H87" s="19">
        <v>121</v>
      </c>
      <c r="I87" s="19">
        <v>111</v>
      </c>
      <c r="J87" s="19">
        <v>71</v>
      </c>
      <c r="K87" s="19">
        <v>0</v>
      </c>
      <c r="L87" s="56">
        <v>0</v>
      </c>
      <c r="M87" s="19">
        <v>1</v>
      </c>
      <c r="N87" s="57">
        <v>45812</v>
      </c>
      <c r="O87" s="58">
        <v>11</v>
      </c>
      <c r="P87" s="58">
        <v>35</v>
      </c>
      <c r="Q87" s="58" t="s">
        <v>55</v>
      </c>
      <c r="R87" s="58">
        <v>12</v>
      </c>
      <c r="S87" s="58">
        <v>50</v>
      </c>
      <c r="T87" s="58" t="s">
        <v>50</v>
      </c>
      <c r="U87" s="58">
        <v>20</v>
      </c>
      <c r="V87" s="58">
        <v>25</v>
      </c>
      <c r="W87" s="57">
        <v>1</v>
      </c>
      <c r="X87" s="58">
        <v>0</v>
      </c>
      <c r="Y87" s="58">
        <v>0</v>
      </c>
      <c r="Z87" s="58">
        <v>205</v>
      </c>
      <c r="AA87" s="58">
        <v>359</v>
      </c>
      <c r="AB87" s="58">
        <v>36</v>
      </c>
      <c r="AC87" s="58">
        <v>0</v>
      </c>
      <c r="AD87" s="58">
        <v>100</v>
      </c>
      <c r="AE87" s="58">
        <v>100</v>
      </c>
      <c r="AF87" s="58">
        <v>100</v>
      </c>
      <c r="AG87" s="59">
        <v>0</v>
      </c>
    </row>
    <row r="88" spans="1:33" ht="58.5" thickBot="1">
      <c r="A88" s="25">
        <v>7</v>
      </c>
      <c r="B88" s="16" t="s">
        <v>38</v>
      </c>
      <c r="C88" s="19">
        <v>0</v>
      </c>
      <c r="D88" s="19">
        <v>0</v>
      </c>
      <c r="E88" s="17">
        <v>2140</v>
      </c>
      <c r="F88" s="19">
        <v>0</v>
      </c>
      <c r="G88" s="18">
        <v>2140</v>
      </c>
      <c r="H88" s="19">
        <v>270</v>
      </c>
      <c r="I88" s="19">
        <v>336</v>
      </c>
      <c r="J88" s="19">
        <v>242</v>
      </c>
      <c r="K88" s="19">
        <v>0</v>
      </c>
      <c r="L88" s="56">
        <v>0</v>
      </c>
      <c r="M88" s="19">
        <v>1</v>
      </c>
      <c r="N88" s="58" t="s">
        <v>46</v>
      </c>
      <c r="O88" s="58">
        <v>16</v>
      </c>
      <c r="P88" s="58">
        <v>15</v>
      </c>
      <c r="Q88" s="58" t="s">
        <v>47</v>
      </c>
      <c r="R88" s="58">
        <v>12</v>
      </c>
      <c r="S88" s="58">
        <v>0</v>
      </c>
      <c r="T88" s="57">
        <v>45873</v>
      </c>
      <c r="U88" s="58">
        <v>20</v>
      </c>
      <c r="V88" s="58">
        <v>15</v>
      </c>
      <c r="W88" s="57">
        <v>1</v>
      </c>
      <c r="X88" s="58">
        <v>0</v>
      </c>
      <c r="Y88" s="58">
        <v>0</v>
      </c>
      <c r="Z88" s="58">
        <v>205</v>
      </c>
      <c r="AA88" s="58">
        <v>359</v>
      </c>
      <c r="AB88" s="58">
        <v>36</v>
      </c>
      <c r="AC88" s="58">
        <v>0</v>
      </c>
      <c r="AD88" s="58">
        <v>100</v>
      </c>
      <c r="AE88" s="58">
        <v>100</v>
      </c>
      <c r="AF88" s="58">
        <v>100</v>
      </c>
      <c r="AG88" s="59">
        <v>0</v>
      </c>
    </row>
    <row r="89" spans="1:33" ht="30.75" thickBot="1">
      <c r="A89" s="22"/>
      <c r="B89" s="23" t="s">
        <v>40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44.25" thickBot="1">
      <c r="A90" s="25">
        <v>1</v>
      </c>
      <c r="B90" s="16" t="s">
        <v>32</v>
      </c>
      <c r="C90" s="17">
        <v>11541</v>
      </c>
      <c r="D90" s="17">
        <v>17870</v>
      </c>
      <c r="E90" s="17">
        <v>1851</v>
      </c>
      <c r="F90" s="19">
        <v>0</v>
      </c>
      <c r="G90" s="18">
        <v>31262</v>
      </c>
      <c r="H90" s="19">
        <v>107</v>
      </c>
      <c r="I90" s="19">
        <v>107</v>
      </c>
      <c r="J90" s="19">
        <v>107</v>
      </c>
      <c r="K90" s="19">
        <v>0</v>
      </c>
      <c r="L90" s="56">
        <v>0</v>
      </c>
      <c r="M90" s="19">
        <v>1</v>
      </c>
      <c r="N90" s="58" t="s">
        <v>44</v>
      </c>
      <c r="O90" s="58">
        <v>13</v>
      </c>
      <c r="P90" s="58">
        <v>30</v>
      </c>
      <c r="Q90" s="58" t="s">
        <v>55</v>
      </c>
      <c r="R90" s="58">
        <v>19</v>
      </c>
      <c r="S90" s="58">
        <v>30</v>
      </c>
      <c r="T90" s="58" t="s">
        <v>54</v>
      </c>
      <c r="U90" s="58">
        <v>21</v>
      </c>
      <c r="V90" s="58">
        <v>0</v>
      </c>
      <c r="W90" s="57">
        <v>1</v>
      </c>
      <c r="X90" s="58">
        <v>0</v>
      </c>
      <c r="Y90" s="58">
        <v>0</v>
      </c>
      <c r="Z90" s="58">
        <v>205</v>
      </c>
      <c r="AA90" s="58">
        <v>359</v>
      </c>
      <c r="AB90" s="58">
        <v>36</v>
      </c>
      <c r="AC90" s="58">
        <v>0</v>
      </c>
      <c r="AD90" s="58">
        <v>100</v>
      </c>
      <c r="AE90" s="58">
        <v>100</v>
      </c>
      <c r="AF90" s="58">
        <v>100</v>
      </c>
      <c r="AG90" s="59">
        <v>0</v>
      </c>
    </row>
    <row r="91" spans="1:33" ht="44.25" thickBot="1">
      <c r="A91" s="25">
        <v>2</v>
      </c>
      <c r="B91" s="16" t="s">
        <v>33</v>
      </c>
      <c r="C91" s="17">
        <v>11551</v>
      </c>
      <c r="D91" s="17">
        <v>21855</v>
      </c>
      <c r="E91" s="17">
        <v>1505</v>
      </c>
      <c r="F91" s="19">
        <v>0</v>
      </c>
      <c r="G91" s="18">
        <v>34911</v>
      </c>
      <c r="H91" s="19">
        <v>178</v>
      </c>
      <c r="I91" s="19">
        <v>178</v>
      </c>
      <c r="J91" s="19">
        <v>108</v>
      </c>
      <c r="K91" s="19">
        <v>0</v>
      </c>
      <c r="L91" s="56">
        <v>0</v>
      </c>
      <c r="M91" s="19">
        <v>1</v>
      </c>
      <c r="N91" s="58" t="s">
        <v>48</v>
      </c>
      <c r="O91" s="58">
        <v>11</v>
      </c>
      <c r="P91" s="58">
        <v>10</v>
      </c>
      <c r="Q91" s="58" t="s">
        <v>56</v>
      </c>
      <c r="R91" s="58">
        <v>12</v>
      </c>
      <c r="S91" s="58">
        <v>50</v>
      </c>
      <c r="T91" s="58" t="s">
        <v>54</v>
      </c>
      <c r="U91" s="58">
        <v>20</v>
      </c>
      <c r="V91" s="58">
        <v>35</v>
      </c>
      <c r="W91" s="57">
        <v>1</v>
      </c>
      <c r="X91" s="58">
        <v>0</v>
      </c>
      <c r="Y91" s="58">
        <v>0</v>
      </c>
      <c r="Z91" s="58">
        <v>205</v>
      </c>
      <c r="AA91" s="58">
        <v>359</v>
      </c>
      <c r="AB91" s="58">
        <v>36</v>
      </c>
      <c r="AC91" s="58">
        <v>0</v>
      </c>
      <c r="AD91" s="58">
        <v>100</v>
      </c>
      <c r="AE91" s="58">
        <v>100</v>
      </c>
      <c r="AF91" s="58">
        <v>100</v>
      </c>
      <c r="AG91" s="59">
        <v>0</v>
      </c>
    </row>
    <row r="92" spans="1:33" ht="44.25" thickBot="1">
      <c r="A92" s="25">
        <v>3</v>
      </c>
      <c r="B92" s="16" t="s">
        <v>34</v>
      </c>
      <c r="C92" s="17">
        <v>12909</v>
      </c>
      <c r="D92" s="17">
        <v>34053</v>
      </c>
      <c r="E92" s="17">
        <v>2367</v>
      </c>
      <c r="F92" s="19">
        <v>0</v>
      </c>
      <c r="G92" s="18">
        <v>49328</v>
      </c>
      <c r="H92" s="19">
        <v>238</v>
      </c>
      <c r="I92" s="19">
        <v>238</v>
      </c>
      <c r="J92" s="19">
        <v>238</v>
      </c>
      <c r="K92" s="19">
        <v>0</v>
      </c>
      <c r="L92" s="56">
        <v>0</v>
      </c>
      <c r="M92" s="19">
        <v>1</v>
      </c>
      <c r="N92" s="58" t="s">
        <v>44</v>
      </c>
      <c r="O92" s="58">
        <v>10</v>
      </c>
      <c r="P92" s="58">
        <v>15</v>
      </c>
      <c r="Q92" s="58" t="s">
        <v>57</v>
      </c>
      <c r="R92" s="58">
        <v>11</v>
      </c>
      <c r="S92" s="58">
        <v>15</v>
      </c>
      <c r="T92" s="58" t="s">
        <v>54</v>
      </c>
      <c r="U92" s="58">
        <v>20</v>
      </c>
      <c r="V92" s="58">
        <v>15</v>
      </c>
      <c r="W92" s="57">
        <v>1</v>
      </c>
      <c r="X92" s="58">
        <v>0</v>
      </c>
      <c r="Y92" s="58">
        <v>0</v>
      </c>
      <c r="Z92" s="58">
        <v>205</v>
      </c>
      <c r="AA92" s="58">
        <v>359</v>
      </c>
      <c r="AB92" s="58">
        <v>36</v>
      </c>
      <c r="AC92" s="58">
        <v>0</v>
      </c>
      <c r="AD92" s="58">
        <v>100</v>
      </c>
      <c r="AE92" s="58">
        <v>100</v>
      </c>
      <c r="AF92" s="58">
        <v>100</v>
      </c>
      <c r="AG92" s="59">
        <v>0</v>
      </c>
    </row>
    <row r="93" spans="1:33" ht="58.5" thickBot="1">
      <c r="A93" s="25">
        <v>4</v>
      </c>
      <c r="B93" s="16" t="s">
        <v>35</v>
      </c>
      <c r="C93" s="17">
        <v>10943</v>
      </c>
      <c r="D93" s="17">
        <v>21447</v>
      </c>
      <c r="E93" s="17">
        <v>2484</v>
      </c>
      <c r="F93" s="19">
        <v>0</v>
      </c>
      <c r="G93" s="18">
        <v>34874</v>
      </c>
      <c r="H93" s="19">
        <v>168</v>
      </c>
      <c r="I93" s="19">
        <v>168</v>
      </c>
      <c r="J93" s="19">
        <v>168</v>
      </c>
      <c r="K93" s="19">
        <v>0</v>
      </c>
      <c r="L93" s="56">
        <v>0</v>
      </c>
      <c r="M93" s="19">
        <v>1</v>
      </c>
      <c r="N93" s="58" t="s">
        <v>44</v>
      </c>
      <c r="O93" s="58">
        <v>11</v>
      </c>
      <c r="P93" s="58">
        <v>10</v>
      </c>
      <c r="Q93" s="58" t="s">
        <v>57</v>
      </c>
      <c r="R93" s="58">
        <v>11</v>
      </c>
      <c r="S93" s="58">
        <v>15</v>
      </c>
      <c r="T93" s="58" t="s">
        <v>58</v>
      </c>
      <c r="U93" s="58">
        <v>20</v>
      </c>
      <c r="V93" s="58">
        <v>15</v>
      </c>
      <c r="W93" s="57">
        <v>1</v>
      </c>
      <c r="X93" s="58">
        <v>0</v>
      </c>
      <c r="Y93" s="58">
        <v>0</v>
      </c>
      <c r="Z93" s="58">
        <v>205</v>
      </c>
      <c r="AA93" s="58">
        <v>359</v>
      </c>
      <c r="AB93" s="58">
        <v>36</v>
      </c>
      <c r="AC93" s="58">
        <v>0</v>
      </c>
      <c r="AD93" s="58">
        <v>100</v>
      </c>
      <c r="AE93" s="58">
        <v>100</v>
      </c>
      <c r="AF93" s="58">
        <v>100</v>
      </c>
      <c r="AG93" s="59">
        <v>0</v>
      </c>
    </row>
    <row r="94" spans="1:33" ht="58.5" thickBot="1">
      <c r="A94" s="25">
        <v>5</v>
      </c>
      <c r="B94" s="16" t="s">
        <v>36</v>
      </c>
      <c r="C94" s="17">
        <v>19287</v>
      </c>
      <c r="D94" s="17">
        <v>14238</v>
      </c>
      <c r="E94" s="17">
        <v>2828</v>
      </c>
      <c r="F94" s="19">
        <v>0</v>
      </c>
      <c r="G94" s="18">
        <v>36353</v>
      </c>
      <c r="H94" s="19">
        <v>169</v>
      </c>
      <c r="I94" s="19">
        <v>169</v>
      </c>
      <c r="J94" s="19">
        <v>169</v>
      </c>
      <c r="K94" s="19">
        <v>0</v>
      </c>
      <c r="L94" s="56">
        <v>0</v>
      </c>
      <c r="M94" s="19">
        <v>1</v>
      </c>
      <c r="N94" s="58" t="s">
        <v>44</v>
      </c>
      <c r="O94" s="58">
        <v>9</v>
      </c>
      <c r="P94" s="58">
        <v>15</v>
      </c>
      <c r="Q94" s="58" t="s">
        <v>49</v>
      </c>
      <c r="R94" s="58">
        <v>9</v>
      </c>
      <c r="S94" s="58">
        <v>15</v>
      </c>
      <c r="T94" s="58" t="s">
        <v>47</v>
      </c>
      <c r="U94" s="58">
        <v>20</v>
      </c>
      <c r="V94" s="58">
        <v>25</v>
      </c>
      <c r="W94" s="57">
        <v>1</v>
      </c>
      <c r="X94" s="58">
        <v>0</v>
      </c>
      <c r="Y94" s="58">
        <v>0</v>
      </c>
      <c r="Z94" s="58">
        <v>205</v>
      </c>
      <c r="AA94" s="58">
        <v>359</v>
      </c>
      <c r="AB94" s="58">
        <v>36</v>
      </c>
      <c r="AC94" s="58">
        <v>0</v>
      </c>
      <c r="AD94" s="58">
        <v>100</v>
      </c>
      <c r="AE94" s="58">
        <v>100</v>
      </c>
      <c r="AF94" s="58">
        <v>100</v>
      </c>
      <c r="AG94" s="59">
        <v>0</v>
      </c>
    </row>
    <row r="95" spans="1:33" ht="44.25" thickBot="1">
      <c r="A95" s="25">
        <v>6</v>
      </c>
      <c r="B95" s="16" t="s">
        <v>37</v>
      </c>
      <c r="C95" s="17">
        <v>10947</v>
      </c>
      <c r="D95" s="17">
        <v>5331</v>
      </c>
      <c r="E95" s="19">
        <v>932</v>
      </c>
      <c r="F95" s="19">
        <v>0</v>
      </c>
      <c r="G95" s="18">
        <v>17210</v>
      </c>
      <c r="H95" s="19">
        <v>57</v>
      </c>
      <c r="I95" s="19">
        <v>57</v>
      </c>
      <c r="J95" s="19">
        <v>57</v>
      </c>
      <c r="K95" s="19">
        <v>0</v>
      </c>
      <c r="L95" s="56">
        <v>0</v>
      </c>
      <c r="M95" s="19">
        <v>1</v>
      </c>
      <c r="N95" s="58" t="s">
        <v>49</v>
      </c>
      <c r="O95" s="58">
        <v>5</v>
      </c>
      <c r="P95" s="58">
        <v>55</v>
      </c>
      <c r="Q95" s="58" t="s">
        <v>57</v>
      </c>
      <c r="R95" s="58">
        <v>8</v>
      </c>
      <c r="S95" s="58">
        <v>35</v>
      </c>
      <c r="T95" s="58" t="s">
        <v>56</v>
      </c>
      <c r="U95" s="58">
        <v>21</v>
      </c>
      <c r="V95" s="58">
        <v>40</v>
      </c>
      <c r="W95" s="57">
        <v>1</v>
      </c>
      <c r="X95" s="58">
        <v>0</v>
      </c>
      <c r="Y95" s="58">
        <v>0</v>
      </c>
      <c r="Z95" s="58">
        <v>205</v>
      </c>
      <c r="AA95" s="58">
        <v>359</v>
      </c>
      <c r="AB95" s="58">
        <v>36</v>
      </c>
      <c r="AC95" s="58">
        <v>0</v>
      </c>
      <c r="AD95" s="58">
        <v>100</v>
      </c>
      <c r="AE95" s="58">
        <v>100</v>
      </c>
      <c r="AF95" s="58">
        <v>100</v>
      </c>
      <c r="AG95" s="59">
        <v>0</v>
      </c>
    </row>
    <row r="96" spans="1:33" ht="58.5" thickBot="1">
      <c r="A96" s="25">
        <v>7</v>
      </c>
      <c r="B96" s="16" t="s">
        <v>38</v>
      </c>
      <c r="C96" s="17">
        <v>7415</v>
      </c>
      <c r="D96" s="17">
        <v>26098</v>
      </c>
      <c r="E96" s="19">
        <v>66</v>
      </c>
      <c r="F96" s="19">
        <v>0</v>
      </c>
      <c r="G96" s="18">
        <v>33579</v>
      </c>
      <c r="H96" s="19">
        <v>0</v>
      </c>
      <c r="I96" s="19">
        <v>0</v>
      </c>
      <c r="J96" s="19">
        <v>0</v>
      </c>
      <c r="K96" s="19">
        <v>0</v>
      </c>
      <c r="L96" s="56">
        <v>0</v>
      </c>
      <c r="M96" s="19">
        <v>1</v>
      </c>
      <c r="N96" s="57">
        <v>45812</v>
      </c>
      <c r="O96" s="58">
        <v>0</v>
      </c>
      <c r="P96" s="58">
        <v>5</v>
      </c>
      <c r="Q96" s="57">
        <v>45812</v>
      </c>
      <c r="R96" s="58">
        <v>19</v>
      </c>
      <c r="S96" s="58">
        <v>5</v>
      </c>
      <c r="T96" s="57">
        <v>45842</v>
      </c>
      <c r="U96" s="58">
        <v>20</v>
      </c>
      <c r="V96" s="58">
        <v>5</v>
      </c>
      <c r="W96" s="57">
        <v>1</v>
      </c>
      <c r="X96" s="58">
        <v>0</v>
      </c>
      <c r="Y96" s="58">
        <v>0</v>
      </c>
      <c r="Z96" s="58">
        <v>205</v>
      </c>
      <c r="AA96" s="58">
        <v>359</v>
      </c>
      <c r="AB96" s="58">
        <v>36</v>
      </c>
      <c r="AC96" s="58">
        <v>0</v>
      </c>
      <c r="AD96" s="58">
        <v>0</v>
      </c>
      <c r="AE96" s="58">
        <v>0</v>
      </c>
      <c r="AF96" s="58">
        <v>0</v>
      </c>
      <c r="AG96" s="59">
        <v>0</v>
      </c>
    </row>
    <row r="97" spans="1:33" ht="30.75" thickBot="1">
      <c r="A97" s="22"/>
      <c r="B97" s="23" t="s">
        <v>41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44.25" thickBot="1">
      <c r="A98" s="25">
        <v>1</v>
      </c>
      <c r="B98" s="16" t="s">
        <v>32</v>
      </c>
      <c r="C98" s="19">
        <v>0</v>
      </c>
      <c r="D98" s="17">
        <v>11397</v>
      </c>
      <c r="E98" s="17">
        <v>1070</v>
      </c>
      <c r="F98" s="19">
        <v>0</v>
      </c>
      <c r="G98" s="18">
        <v>12467</v>
      </c>
      <c r="H98" s="19">
        <v>107</v>
      </c>
      <c r="I98" s="19">
        <v>107</v>
      </c>
      <c r="J98" s="19">
        <v>103</v>
      </c>
      <c r="K98" s="19">
        <v>0</v>
      </c>
      <c r="L98" s="56">
        <v>0</v>
      </c>
      <c r="M98" s="19">
        <v>1</v>
      </c>
      <c r="N98" s="57">
        <v>45812</v>
      </c>
      <c r="O98" s="58">
        <v>11</v>
      </c>
      <c r="P98" s="58">
        <v>35</v>
      </c>
      <c r="Q98" s="57">
        <v>45812</v>
      </c>
      <c r="R98" s="58">
        <v>19</v>
      </c>
      <c r="S98" s="58">
        <v>25</v>
      </c>
      <c r="T98" s="57">
        <v>45842</v>
      </c>
      <c r="U98" s="58">
        <v>21</v>
      </c>
      <c r="V98" s="58">
        <v>10</v>
      </c>
      <c r="W98" s="57">
        <v>1</v>
      </c>
      <c r="X98" s="58">
        <v>0</v>
      </c>
      <c r="Y98" s="58">
        <v>0</v>
      </c>
      <c r="Z98" s="58">
        <v>205</v>
      </c>
      <c r="AA98" s="58">
        <v>359</v>
      </c>
      <c r="AB98" s="58">
        <v>36</v>
      </c>
      <c r="AC98" s="58">
        <v>0</v>
      </c>
      <c r="AD98" s="58">
        <v>100</v>
      </c>
      <c r="AE98" s="58">
        <v>100</v>
      </c>
      <c r="AF98" s="58">
        <v>100</v>
      </c>
      <c r="AG98" s="59">
        <v>0</v>
      </c>
    </row>
    <row r="99" spans="1:33" ht="44.25" thickBot="1">
      <c r="A99" s="25">
        <v>2</v>
      </c>
      <c r="B99" s="16" t="s">
        <v>33</v>
      </c>
      <c r="C99" s="19">
        <v>0</v>
      </c>
      <c r="D99" s="17">
        <v>14568</v>
      </c>
      <c r="E99" s="19">
        <v>901</v>
      </c>
      <c r="F99" s="19">
        <v>0</v>
      </c>
      <c r="G99" s="18">
        <v>15469</v>
      </c>
      <c r="H99" s="19">
        <v>178</v>
      </c>
      <c r="I99" s="19">
        <v>178</v>
      </c>
      <c r="J99" s="19">
        <v>103</v>
      </c>
      <c r="K99" s="19">
        <v>0</v>
      </c>
      <c r="L99" s="56">
        <v>0</v>
      </c>
      <c r="M99" s="19">
        <v>1</v>
      </c>
      <c r="N99" s="57">
        <v>45812</v>
      </c>
      <c r="O99" s="58">
        <v>11</v>
      </c>
      <c r="P99" s="58">
        <v>20</v>
      </c>
      <c r="Q99" s="57">
        <v>45842</v>
      </c>
      <c r="R99" s="58">
        <v>14</v>
      </c>
      <c r="S99" s="58">
        <v>50</v>
      </c>
      <c r="T99" s="57">
        <v>45873</v>
      </c>
      <c r="U99" s="58">
        <v>20</v>
      </c>
      <c r="V99" s="58">
        <v>20</v>
      </c>
      <c r="W99" s="57">
        <v>1</v>
      </c>
      <c r="X99" s="58">
        <v>0</v>
      </c>
      <c r="Y99" s="58">
        <v>0</v>
      </c>
      <c r="Z99" s="58">
        <v>205</v>
      </c>
      <c r="AA99" s="58">
        <v>359</v>
      </c>
      <c r="AB99" s="58">
        <v>36</v>
      </c>
      <c r="AC99" s="58">
        <v>0</v>
      </c>
      <c r="AD99" s="58">
        <v>100</v>
      </c>
      <c r="AE99" s="58">
        <v>100</v>
      </c>
      <c r="AF99" s="58">
        <v>100</v>
      </c>
      <c r="AG99" s="59">
        <v>0</v>
      </c>
    </row>
    <row r="100" spans="1:33" ht="44.25" thickBot="1">
      <c r="A100" s="25">
        <v>3</v>
      </c>
      <c r="B100" s="16" t="s">
        <v>34</v>
      </c>
      <c r="C100" s="19">
        <v>0</v>
      </c>
      <c r="D100" s="17">
        <v>25213</v>
      </c>
      <c r="E100" s="17">
        <v>1652</v>
      </c>
      <c r="F100" s="19">
        <v>0</v>
      </c>
      <c r="G100" s="18">
        <v>26865</v>
      </c>
      <c r="H100" s="19">
        <v>238</v>
      </c>
      <c r="I100" s="19">
        <v>238</v>
      </c>
      <c r="J100" s="19">
        <v>238</v>
      </c>
      <c r="K100" s="19">
        <v>0</v>
      </c>
      <c r="L100" s="56">
        <v>0</v>
      </c>
      <c r="M100" s="19">
        <v>1</v>
      </c>
      <c r="N100" s="57">
        <v>45812</v>
      </c>
      <c r="O100" s="58">
        <v>10</v>
      </c>
      <c r="P100" s="58">
        <v>5</v>
      </c>
      <c r="Q100" s="57">
        <v>45812</v>
      </c>
      <c r="R100" s="58">
        <v>19</v>
      </c>
      <c r="S100" s="58">
        <v>15</v>
      </c>
      <c r="T100" s="57">
        <v>45842</v>
      </c>
      <c r="U100" s="58">
        <v>20</v>
      </c>
      <c r="V100" s="58">
        <v>15</v>
      </c>
      <c r="W100" s="57">
        <v>1</v>
      </c>
      <c r="X100" s="58">
        <v>0</v>
      </c>
      <c r="Y100" s="58">
        <v>0</v>
      </c>
      <c r="Z100" s="58">
        <v>205</v>
      </c>
      <c r="AA100" s="58">
        <v>359</v>
      </c>
      <c r="AB100" s="58">
        <v>36</v>
      </c>
      <c r="AC100" s="58">
        <v>0</v>
      </c>
      <c r="AD100" s="58">
        <v>100</v>
      </c>
      <c r="AE100" s="58">
        <v>100</v>
      </c>
      <c r="AF100" s="58">
        <v>100</v>
      </c>
      <c r="AG100" s="59">
        <v>0</v>
      </c>
    </row>
    <row r="101" spans="1:33" ht="58.5" thickBot="1">
      <c r="A101" s="25">
        <v>4</v>
      </c>
      <c r="B101" s="16" t="s">
        <v>35</v>
      </c>
      <c r="C101" s="19">
        <v>0</v>
      </c>
      <c r="D101" s="17">
        <v>19377</v>
      </c>
      <c r="E101" s="17">
        <v>2043</v>
      </c>
      <c r="F101" s="19">
        <v>0</v>
      </c>
      <c r="G101" s="18">
        <v>21420</v>
      </c>
      <c r="H101" s="19">
        <v>168</v>
      </c>
      <c r="I101" s="19">
        <v>168</v>
      </c>
      <c r="J101" s="19">
        <v>168</v>
      </c>
      <c r="K101" s="19">
        <v>0</v>
      </c>
      <c r="L101" s="56">
        <v>0</v>
      </c>
      <c r="M101" s="19">
        <v>1</v>
      </c>
      <c r="N101" s="57">
        <v>45812</v>
      </c>
      <c r="O101" s="58">
        <v>10</v>
      </c>
      <c r="P101" s="58">
        <v>25</v>
      </c>
      <c r="Q101" s="57">
        <v>45812</v>
      </c>
      <c r="R101" s="58">
        <v>19</v>
      </c>
      <c r="S101" s="58">
        <v>15</v>
      </c>
      <c r="T101" s="57">
        <v>45842</v>
      </c>
      <c r="U101" s="58">
        <v>20</v>
      </c>
      <c r="V101" s="58">
        <v>15</v>
      </c>
      <c r="W101" s="57">
        <v>1</v>
      </c>
      <c r="X101" s="58">
        <v>0</v>
      </c>
      <c r="Y101" s="58">
        <v>0</v>
      </c>
      <c r="Z101" s="58">
        <v>205</v>
      </c>
      <c r="AA101" s="58">
        <v>359</v>
      </c>
      <c r="AB101" s="58">
        <v>36</v>
      </c>
      <c r="AC101" s="58">
        <v>0</v>
      </c>
      <c r="AD101" s="58">
        <v>100</v>
      </c>
      <c r="AE101" s="58">
        <v>100</v>
      </c>
      <c r="AF101" s="58">
        <v>100</v>
      </c>
      <c r="AG101" s="59">
        <v>0</v>
      </c>
    </row>
    <row r="102" spans="1:33" ht="58.5" thickBot="1">
      <c r="A102" s="25">
        <v>5</v>
      </c>
      <c r="B102" s="16" t="s">
        <v>36</v>
      </c>
      <c r="C102" s="19">
        <v>0</v>
      </c>
      <c r="D102" s="17">
        <v>38449</v>
      </c>
      <c r="E102" s="17">
        <v>2404</v>
      </c>
      <c r="F102" s="19">
        <v>0</v>
      </c>
      <c r="G102" s="18">
        <v>40853</v>
      </c>
      <c r="H102" s="19">
        <v>169</v>
      </c>
      <c r="I102" s="19">
        <v>169</v>
      </c>
      <c r="J102" s="19">
        <v>169</v>
      </c>
      <c r="K102" s="19">
        <v>0</v>
      </c>
      <c r="L102" s="56">
        <v>0</v>
      </c>
      <c r="M102" s="19">
        <v>1</v>
      </c>
      <c r="N102" s="57">
        <v>45812</v>
      </c>
      <c r="O102" s="58">
        <v>8</v>
      </c>
      <c r="P102" s="58">
        <v>25</v>
      </c>
      <c r="Q102" s="57">
        <v>45812</v>
      </c>
      <c r="R102" s="58">
        <v>19</v>
      </c>
      <c r="S102" s="58">
        <v>15</v>
      </c>
      <c r="T102" s="57">
        <v>45842</v>
      </c>
      <c r="U102" s="58">
        <v>20</v>
      </c>
      <c r="V102" s="58">
        <v>15</v>
      </c>
      <c r="W102" s="57">
        <v>1</v>
      </c>
      <c r="X102" s="58">
        <v>0</v>
      </c>
      <c r="Y102" s="58">
        <v>0</v>
      </c>
      <c r="Z102" s="58">
        <v>205</v>
      </c>
      <c r="AA102" s="58">
        <v>359</v>
      </c>
      <c r="AB102" s="58">
        <v>36</v>
      </c>
      <c r="AC102" s="58">
        <v>0</v>
      </c>
      <c r="AD102" s="58">
        <v>100</v>
      </c>
      <c r="AE102" s="58">
        <v>100</v>
      </c>
      <c r="AF102" s="58">
        <v>100</v>
      </c>
      <c r="AG102" s="59">
        <v>0</v>
      </c>
    </row>
    <row r="103" spans="1:33" ht="44.25" thickBot="1">
      <c r="A103" s="25">
        <v>6</v>
      </c>
      <c r="B103" s="16" t="s">
        <v>37</v>
      </c>
      <c r="C103" s="19">
        <v>0</v>
      </c>
      <c r="D103" s="17">
        <v>15000</v>
      </c>
      <c r="E103" s="17">
        <v>1118</v>
      </c>
      <c r="F103" s="19">
        <v>0</v>
      </c>
      <c r="G103" s="18">
        <v>16118</v>
      </c>
      <c r="H103" s="19">
        <v>57</v>
      </c>
      <c r="I103" s="19">
        <v>57</v>
      </c>
      <c r="J103" s="19">
        <v>57</v>
      </c>
      <c r="K103" s="19">
        <v>0</v>
      </c>
      <c r="L103" s="56">
        <v>0</v>
      </c>
      <c r="M103" s="19">
        <v>1</v>
      </c>
      <c r="N103" s="57">
        <v>45812</v>
      </c>
      <c r="O103" s="58">
        <v>0</v>
      </c>
      <c r="P103" s="58">
        <v>15</v>
      </c>
      <c r="Q103" s="57">
        <v>45812</v>
      </c>
      <c r="R103" s="58">
        <v>19</v>
      </c>
      <c r="S103" s="58">
        <v>15</v>
      </c>
      <c r="T103" s="57">
        <v>45842</v>
      </c>
      <c r="U103" s="58">
        <v>20</v>
      </c>
      <c r="V103" s="58">
        <v>15</v>
      </c>
      <c r="W103" s="57">
        <v>1</v>
      </c>
      <c r="X103" s="58">
        <v>0</v>
      </c>
      <c r="Y103" s="58">
        <v>0</v>
      </c>
      <c r="Z103" s="58">
        <v>205</v>
      </c>
      <c r="AA103" s="58">
        <v>359</v>
      </c>
      <c r="AB103" s="58">
        <v>36</v>
      </c>
      <c r="AC103" s="58">
        <v>0</v>
      </c>
      <c r="AD103" s="58">
        <v>100</v>
      </c>
      <c r="AE103" s="58">
        <v>100</v>
      </c>
      <c r="AF103" s="58">
        <v>100</v>
      </c>
      <c r="AG103" s="59">
        <v>0</v>
      </c>
    </row>
    <row r="104" spans="1:33" ht="58.5" thickBot="1">
      <c r="A104" s="25">
        <v>7</v>
      </c>
      <c r="B104" s="16" t="s">
        <v>38</v>
      </c>
      <c r="C104" s="19">
        <v>0</v>
      </c>
      <c r="D104" s="19">
        <v>0</v>
      </c>
      <c r="E104" s="17">
        <v>2140</v>
      </c>
      <c r="F104" s="19">
        <v>0</v>
      </c>
      <c r="G104" s="18">
        <v>2140</v>
      </c>
      <c r="H104" s="19">
        <v>270</v>
      </c>
      <c r="I104" s="19">
        <v>336</v>
      </c>
      <c r="J104" s="19">
        <v>242</v>
      </c>
      <c r="K104" s="19">
        <v>0</v>
      </c>
      <c r="L104" s="56">
        <v>0</v>
      </c>
      <c r="M104" s="19">
        <v>1</v>
      </c>
      <c r="N104" s="58" t="s">
        <v>46</v>
      </c>
      <c r="O104" s="58">
        <v>16</v>
      </c>
      <c r="P104" s="58">
        <v>15</v>
      </c>
      <c r="Q104" s="58" t="s">
        <v>47</v>
      </c>
      <c r="R104" s="58">
        <v>12</v>
      </c>
      <c r="S104" s="58">
        <v>0</v>
      </c>
      <c r="T104" s="57">
        <v>45873</v>
      </c>
      <c r="U104" s="58">
        <v>20</v>
      </c>
      <c r="V104" s="58">
        <v>15</v>
      </c>
      <c r="W104" s="57">
        <v>1</v>
      </c>
      <c r="X104" s="58">
        <v>0</v>
      </c>
      <c r="Y104" s="58">
        <v>0</v>
      </c>
      <c r="Z104" s="58">
        <v>205</v>
      </c>
      <c r="AA104" s="58">
        <v>359</v>
      </c>
      <c r="AB104" s="58">
        <v>36</v>
      </c>
      <c r="AC104" s="58">
        <v>0</v>
      </c>
      <c r="AD104" s="58">
        <v>100</v>
      </c>
      <c r="AE104" s="58">
        <v>100</v>
      </c>
      <c r="AF104" s="58">
        <v>100</v>
      </c>
      <c r="AG104" s="59">
        <v>0</v>
      </c>
    </row>
    <row r="105" spans="1:33" ht="30.75" thickBot="1">
      <c r="A105" s="22"/>
      <c r="B105" s="23" t="s">
        <v>42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44.25" thickBot="1">
      <c r="A106" s="25">
        <v>1</v>
      </c>
      <c r="B106" s="16" t="s">
        <v>32</v>
      </c>
      <c r="C106" s="19">
        <v>0</v>
      </c>
      <c r="D106" s="19">
        <v>0</v>
      </c>
      <c r="E106" s="19">
        <v>0</v>
      </c>
      <c r="F106" s="19">
        <v>0</v>
      </c>
      <c r="G106" s="56">
        <v>0</v>
      </c>
      <c r="H106" s="19">
        <v>0</v>
      </c>
      <c r="I106" s="19">
        <v>0</v>
      </c>
      <c r="J106" s="19">
        <v>0</v>
      </c>
      <c r="K106" s="19">
        <v>0</v>
      </c>
      <c r="L106" s="56">
        <v>0</v>
      </c>
      <c r="M106" s="19"/>
      <c r="N106" s="57">
        <v>45812</v>
      </c>
      <c r="O106" s="58">
        <v>0</v>
      </c>
      <c r="P106" s="58">
        <v>5</v>
      </c>
      <c r="Q106" s="57">
        <v>45812</v>
      </c>
      <c r="R106" s="58">
        <v>19</v>
      </c>
      <c r="S106" s="58">
        <v>5</v>
      </c>
      <c r="T106" s="57">
        <v>45842</v>
      </c>
      <c r="U106" s="58">
        <v>20</v>
      </c>
      <c r="V106" s="58">
        <v>5</v>
      </c>
      <c r="W106" s="57">
        <v>1</v>
      </c>
      <c r="X106" s="58">
        <v>0</v>
      </c>
      <c r="Y106" s="58">
        <v>0</v>
      </c>
      <c r="Z106" s="58">
        <v>205</v>
      </c>
      <c r="AA106" s="58">
        <v>359</v>
      </c>
      <c r="AB106" s="58">
        <v>36</v>
      </c>
      <c r="AC106" s="58">
        <v>0</v>
      </c>
      <c r="AD106" s="58">
        <v>0</v>
      </c>
      <c r="AE106" s="58">
        <v>0</v>
      </c>
      <c r="AF106" s="58">
        <v>0</v>
      </c>
      <c r="AG106" s="59">
        <v>0</v>
      </c>
    </row>
    <row r="107" spans="1:33" ht="44.25" thickBot="1">
      <c r="A107" s="25">
        <v>2</v>
      </c>
      <c r="B107" s="16" t="s">
        <v>33</v>
      </c>
      <c r="C107" s="19">
        <v>0</v>
      </c>
      <c r="D107" s="19">
        <v>0</v>
      </c>
      <c r="E107" s="19">
        <v>0</v>
      </c>
      <c r="F107" s="19">
        <v>0</v>
      </c>
      <c r="G107" s="56">
        <v>0</v>
      </c>
      <c r="H107" s="19">
        <v>0</v>
      </c>
      <c r="I107" s="19">
        <v>0</v>
      </c>
      <c r="J107" s="19">
        <v>0</v>
      </c>
      <c r="K107" s="19">
        <v>0</v>
      </c>
      <c r="L107" s="56">
        <v>0</v>
      </c>
      <c r="M107" s="19"/>
      <c r="N107" s="57">
        <v>45812</v>
      </c>
      <c r="O107" s="58">
        <v>0</v>
      </c>
      <c r="P107" s="58">
        <v>5</v>
      </c>
      <c r="Q107" s="57">
        <v>45812</v>
      </c>
      <c r="R107" s="58">
        <v>19</v>
      </c>
      <c r="S107" s="58">
        <v>5</v>
      </c>
      <c r="T107" s="57">
        <v>45842</v>
      </c>
      <c r="U107" s="58">
        <v>20</v>
      </c>
      <c r="V107" s="58">
        <v>5</v>
      </c>
      <c r="W107" s="57">
        <v>1</v>
      </c>
      <c r="X107" s="58">
        <v>0</v>
      </c>
      <c r="Y107" s="58">
        <v>0</v>
      </c>
      <c r="Z107" s="58">
        <v>205</v>
      </c>
      <c r="AA107" s="58">
        <v>359</v>
      </c>
      <c r="AB107" s="58">
        <v>36</v>
      </c>
      <c r="AC107" s="58">
        <v>0</v>
      </c>
      <c r="AD107" s="58">
        <v>0</v>
      </c>
      <c r="AE107" s="58">
        <v>0</v>
      </c>
      <c r="AF107" s="58">
        <v>0</v>
      </c>
      <c r="AG107" s="59">
        <v>0</v>
      </c>
    </row>
    <row r="108" spans="1:33" ht="44.25" thickBot="1">
      <c r="A108" s="25">
        <v>3</v>
      </c>
      <c r="B108" s="16" t="s">
        <v>34</v>
      </c>
      <c r="C108" s="19">
        <v>0</v>
      </c>
      <c r="D108" s="19">
        <v>0</v>
      </c>
      <c r="E108" s="19">
        <v>0</v>
      </c>
      <c r="F108" s="19">
        <v>0</v>
      </c>
      <c r="G108" s="56">
        <v>0</v>
      </c>
      <c r="H108" s="19">
        <v>0</v>
      </c>
      <c r="I108" s="19">
        <v>0</v>
      </c>
      <c r="J108" s="19">
        <v>0</v>
      </c>
      <c r="K108" s="19">
        <v>0</v>
      </c>
      <c r="L108" s="56">
        <v>0</v>
      </c>
      <c r="M108" s="19"/>
      <c r="N108" s="57">
        <v>45812</v>
      </c>
      <c r="O108" s="58">
        <v>0</v>
      </c>
      <c r="P108" s="58">
        <v>5</v>
      </c>
      <c r="Q108" s="57">
        <v>45812</v>
      </c>
      <c r="R108" s="58">
        <v>19</v>
      </c>
      <c r="S108" s="58">
        <v>5</v>
      </c>
      <c r="T108" s="57">
        <v>45842</v>
      </c>
      <c r="U108" s="58">
        <v>20</v>
      </c>
      <c r="V108" s="58">
        <v>5</v>
      </c>
      <c r="W108" s="57">
        <v>1</v>
      </c>
      <c r="X108" s="58">
        <v>0</v>
      </c>
      <c r="Y108" s="58">
        <v>0</v>
      </c>
      <c r="Z108" s="58">
        <v>205</v>
      </c>
      <c r="AA108" s="58">
        <v>359</v>
      </c>
      <c r="AB108" s="58">
        <v>36</v>
      </c>
      <c r="AC108" s="58">
        <v>0</v>
      </c>
      <c r="AD108" s="58">
        <v>0</v>
      </c>
      <c r="AE108" s="58">
        <v>0</v>
      </c>
      <c r="AF108" s="58">
        <v>0</v>
      </c>
      <c r="AG108" s="59">
        <v>0</v>
      </c>
    </row>
    <row r="109" spans="1:33" ht="58.5" thickBot="1">
      <c r="A109" s="25">
        <v>4</v>
      </c>
      <c r="B109" s="16" t="s">
        <v>35</v>
      </c>
      <c r="C109" s="19">
        <v>0</v>
      </c>
      <c r="D109" s="19">
        <v>0</v>
      </c>
      <c r="E109" s="19">
        <v>0</v>
      </c>
      <c r="F109" s="19">
        <v>0</v>
      </c>
      <c r="G109" s="56">
        <v>0</v>
      </c>
      <c r="H109" s="19">
        <v>0</v>
      </c>
      <c r="I109" s="19">
        <v>0</v>
      </c>
      <c r="J109" s="19">
        <v>0</v>
      </c>
      <c r="K109" s="19">
        <v>0</v>
      </c>
      <c r="L109" s="56">
        <v>0</v>
      </c>
      <c r="M109" s="19"/>
      <c r="N109" s="57">
        <v>45812</v>
      </c>
      <c r="O109" s="58">
        <v>0</v>
      </c>
      <c r="P109" s="58">
        <v>5</v>
      </c>
      <c r="Q109" s="57">
        <v>45812</v>
      </c>
      <c r="R109" s="58">
        <v>19</v>
      </c>
      <c r="S109" s="58">
        <v>5</v>
      </c>
      <c r="T109" s="57">
        <v>45842</v>
      </c>
      <c r="U109" s="58">
        <v>20</v>
      </c>
      <c r="V109" s="58">
        <v>5</v>
      </c>
      <c r="W109" s="57">
        <v>1</v>
      </c>
      <c r="X109" s="58">
        <v>0</v>
      </c>
      <c r="Y109" s="58">
        <v>0</v>
      </c>
      <c r="Z109" s="58">
        <v>205</v>
      </c>
      <c r="AA109" s="58">
        <v>359</v>
      </c>
      <c r="AB109" s="58">
        <v>36</v>
      </c>
      <c r="AC109" s="58">
        <v>0</v>
      </c>
      <c r="AD109" s="58">
        <v>0</v>
      </c>
      <c r="AE109" s="58">
        <v>0</v>
      </c>
      <c r="AF109" s="58">
        <v>0</v>
      </c>
      <c r="AG109" s="59">
        <v>0</v>
      </c>
    </row>
    <row r="110" spans="1:33" ht="58.5" thickBot="1">
      <c r="A110" s="25">
        <v>5</v>
      </c>
      <c r="B110" s="16" t="s">
        <v>36</v>
      </c>
      <c r="C110" s="19">
        <v>0</v>
      </c>
      <c r="D110" s="19">
        <v>0</v>
      </c>
      <c r="E110" s="19">
        <v>0</v>
      </c>
      <c r="F110" s="19">
        <v>0</v>
      </c>
      <c r="G110" s="56">
        <v>0</v>
      </c>
      <c r="H110" s="19">
        <v>0</v>
      </c>
      <c r="I110" s="19">
        <v>0</v>
      </c>
      <c r="J110" s="19">
        <v>0</v>
      </c>
      <c r="K110" s="19">
        <v>0</v>
      </c>
      <c r="L110" s="56">
        <v>0</v>
      </c>
      <c r="M110" s="19"/>
      <c r="N110" s="57">
        <v>45812</v>
      </c>
      <c r="O110" s="58">
        <v>0</v>
      </c>
      <c r="P110" s="58">
        <v>5</v>
      </c>
      <c r="Q110" s="57">
        <v>45812</v>
      </c>
      <c r="R110" s="58">
        <v>19</v>
      </c>
      <c r="S110" s="58">
        <v>5</v>
      </c>
      <c r="T110" s="57">
        <v>45842</v>
      </c>
      <c r="U110" s="58">
        <v>20</v>
      </c>
      <c r="V110" s="58">
        <v>5</v>
      </c>
      <c r="W110" s="57">
        <v>1</v>
      </c>
      <c r="X110" s="58">
        <v>0</v>
      </c>
      <c r="Y110" s="58">
        <v>0</v>
      </c>
      <c r="Z110" s="58">
        <v>205</v>
      </c>
      <c r="AA110" s="58">
        <v>359</v>
      </c>
      <c r="AB110" s="58">
        <v>36</v>
      </c>
      <c r="AC110" s="58">
        <v>0</v>
      </c>
      <c r="AD110" s="58">
        <v>0</v>
      </c>
      <c r="AE110" s="58">
        <v>0</v>
      </c>
      <c r="AF110" s="58">
        <v>0</v>
      </c>
      <c r="AG110" s="59">
        <v>0</v>
      </c>
    </row>
    <row r="111" spans="1:33" ht="44.25" thickBot="1">
      <c r="A111" s="25">
        <v>6</v>
      </c>
      <c r="B111" s="16" t="s">
        <v>37</v>
      </c>
      <c r="C111" s="19">
        <v>0</v>
      </c>
      <c r="D111" s="19">
        <v>0</v>
      </c>
      <c r="E111" s="19">
        <v>0</v>
      </c>
      <c r="F111" s="19">
        <v>0</v>
      </c>
      <c r="G111" s="56">
        <v>0</v>
      </c>
      <c r="H111" s="19">
        <v>0</v>
      </c>
      <c r="I111" s="19">
        <v>0</v>
      </c>
      <c r="J111" s="19">
        <v>0</v>
      </c>
      <c r="K111" s="19">
        <v>0</v>
      </c>
      <c r="L111" s="56">
        <v>0</v>
      </c>
      <c r="M111" s="19"/>
      <c r="N111" s="57">
        <v>45812</v>
      </c>
      <c r="O111" s="58">
        <v>0</v>
      </c>
      <c r="P111" s="58">
        <v>5</v>
      </c>
      <c r="Q111" s="57">
        <v>45812</v>
      </c>
      <c r="R111" s="58">
        <v>19</v>
      </c>
      <c r="S111" s="58">
        <v>5</v>
      </c>
      <c r="T111" s="57">
        <v>45842</v>
      </c>
      <c r="U111" s="58">
        <v>20</v>
      </c>
      <c r="V111" s="58">
        <v>5</v>
      </c>
      <c r="W111" s="57">
        <v>1</v>
      </c>
      <c r="X111" s="58">
        <v>0</v>
      </c>
      <c r="Y111" s="58">
        <v>0</v>
      </c>
      <c r="Z111" s="58">
        <v>205</v>
      </c>
      <c r="AA111" s="58">
        <v>359</v>
      </c>
      <c r="AB111" s="58">
        <v>36</v>
      </c>
      <c r="AC111" s="58">
        <v>0</v>
      </c>
      <c r="AD111" s="58">
        <v>0</v>
      </c>
      <c r="AE111" s="58">
        <v>0</v>
      </c>
      <c r="AF111" s="58">
        <v>0</v>
      </c>
      <c r="AG111" s="59">
        <v>0</v>
      </c>
    </row>
    <row r="112" spans="1:33" ht="57.75">
      <c r="A112" s="26">
        <v>7</v>
      </c>
      <c r="B112" s="27" t="s">
        <v>38</v>
      </c>
      <c r="C112" s="60">
        <v>0</v>
      </c>
      <c r="D112" s="60">
        <v>0</v>
      </c>
      <c r="E112" s="60">
        <v>0</v>
      </c>
      <c r="F112" s="60">
        <v>0</v>
      </c>
      <c r="G112" s="61">
        <v>0</v>
      </c>
      <c r="H112" s="60">
        <v>0</v>
      </c>
      <c r="I112" s="60">
        <v>0</v>
      </c>
      <c r="J112" s="60">
        <v>0</v>
      </c>
      <c r="K112" s="60">
        <v>0</v>
      </c>
      <c r="L112" s="61">
        <v>0</v>
      </c>
      <c r="M112" s="60"/>
      <c r="N112" s="62">
        <v>45812</v>
      </c>
      <c r="O112" s="63">
        <v>0</v>
      </c>
      <c r="P112" s="63">
        <v>5</v>
      </c>
      <c r="Q112" s="62">
        <v>45812</v>
      </c>
      <c r="R112" s="63">
        <v>19</v>
      </c>
      <c r="S112" s="63">
        <v>5</v>
      </c>
      <c r="T112" s="62">
        <v>45842</v>
      </c>
      <c r="U112" s="63">
        <v>20</v>
      </c>
      <c r="V112" s="63">
        <v>5</v>
      </c>
      <c r="W112" s="62">
        <v>1</v>
      </c>
      <c r="X112" s="63">
        <v>0</v>
      </c>
      <c r="Y112" s="63">
        <v>0</v>
      </c>
      <c r="Z112" s="63">
        <v>205</v>
      </c>
      <c r="AA112" s="63">
        <v>359</v>
      </c>
      <c r="AB112" s="63">
        <v>36</v>
      </c>
      <c r="AC112" s="63">
        <v>0</v>
      </c>
      <c r="AD112" s="63">
        <v>0</v>
      </c>
      <c r="AE112" s="63">
        <v>0</v>
      </c>
      <c r="AF112" s="63">
        <v>0</v>
      </c>
      <c r="AG112" s="64">
        <v>0</v>
      </c>
    </row>
  </sheetData>
  <mergeCells count="34">
    <mergeCell ref="A57:AG57"/>
    <mergeCell ref="A58:AG58"/>
    <mergeCell ref="A59:AG59"/>
    <mergeCell ref="A60:AG60"/>
    <mergeCell ref="A63:A72"/>
    <mergeCell ref="N61:P61"/>
    <mergeCell ref="Q61:S61"/>
    <mergeCell ref="T61:V61"/>
    <mergeCell ref="W61:Y61"/>
    <mergeCell ref="Z61:AC61"/>
    <mergeCell ref="AD61:AG61"/>
    <mergeCell ref="A1:AG1"/>
    <mergeCell ref="A2:AG2"/>
    <mergeCell ref="A3:AG3"/>
    <mergeCell ref="A4:AG4"/>
    <mergeCell ref="A61:A62"/>
    <mergeCell ref="B61:B62"/>
    <mergeCell ref="C61:G61"/>
    <mergeCell ref="H61:K61"/>
    <mergeCell ref="L61:L62"/>
    <mergeCell ref="M61:M62"/>
    <mergeCell ref="A7:A16"/>
    <mergeCell ref="N5:P5"/>
    <mergeCell ref="Q5:S5"/>
    <mergeCell ref="T5:V5"/>
    <mergeCell ref="W5:Y5"/>
    <mergeCell ref="Z5:AC5"/>
    <mergeCell ref="AD5:AG5"/>
    <mergeCell ref="A5:A6"/>
    <mergeCell ref="B5:B6"/>
    <mergeCell ref="C5:G5"/>
    <mergeCell ref="H5:K5"/>
    <mergeCell ref="L5:L6"/>
    <mergeCell ref="M5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D402-AF26-4AC3-8D08-F8E53E0B8667}">
  <dimension ref="A1:L5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T8" sqref="S8:T8"/>
    </sheetView>
  </sheetViews>
  <sheetFormatPr baseColWidth="10" defaultRowHeight="15.75"/>
  <cols>
    <col min="1" max="1" width="6.140625" style="29" customWidth="1"/>
    <col min="2" max="2" width="19.85546875" style="29" customWidth="1"/>
    <col min="3" max="3" width="8.28515625" style="29" bestFit="1" customWidth="1"/>
    <col min="4" max="4" width="9.5703125" style="29" bestFit="1" customWidth="1"/>
    <col min="5" max="5" width="8.28515625" style="29" bestFit="1" customWidth="1"/>
    <col min="6" max="6" width="5.28515625" style="29" bestFit="1" customWidth="1"/>
    <col min="7" max="7" width="9.5703125" style="29" bestFit="1" customWidth="1"/>
    <col min="8" max="8" width="5.140625" style="29" bestFit="1" customWidth="1"/>
    <col min="9" max="9" width="5.42578125" style="29" bestFit="1" customWidth="1"/>
    <col min="10" max="10" width="5.140625" style="29" bestFit="1" customWidth="1"/>
    <col min="11" max="11" width="5.28515625" style="29" bestFit="1" customWidth="1"/>
    <col min="12" max="12" width="8.28515625" style="29" bestFit="1" customWidth="1"/>
    <col min="13" max="16384" width="11.42578125" style="29"/>
  </cols>
  <sheetData>
    <row r="1" spans="1:12">
      <c r="A1" s="28" t="s">
        <v>61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30" t="s">
        <v>62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1" t="s">
        <v>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16.5" thickBot="1">
      <c r="A5" s="32"/>
      <c r="B5" s="33"/>
      <c r="C5" s="34" t="s">
        <v>2</v>
      </c>
      <c r="D5" s="35"/>
      <c r="E5" s="35"/>
      <c r="F5" s="35"/>
      <c r="G5" s="36"/>
      <c r="H5" s="34" t="s">
        <v>3</v>
      </c>
      <c r="I5" s="35"/>
      <c r="J5" s="35"/>
      <c r="K5" s="36"/>
      <c r="L5" s="37" t="s">
        <v>4</v>
      </c>
    </row>
    <row r="6" spans="1:12" ht="63.75" thickBot="1">
      <c r="A6" s="38"/>
      <c r="B6" s="39"/>
      <c r="C6" s="40" t="s">
        <v>12</v>
      </c>
      <c r="D6" s="40" t="s">
        <v>13</v>
      </c>
      <c r="E6" s="40" t="s">
        <v>14</v>
      </c>
      <c r="F6" s="40" t="s">
        <v>15</v>
      </c>
      <c r="G6" s="40" t="s">
        <v>16</v>
      </c>
      <c r="H6" s="40" t="s">
        <v>12</v>
      </c>
      <c r="I6" s="40" t="s">
        <v>13</v>
      </c>
      <c r="J6" s="40" t="s">
        <v>14</v>
      </c>
      <c r="K6" s="40" t="s">
        <v>15</v>
      </c>
      <c r="L6" s="41"/>
    </row>
    <row r="7" spans="1:12" ht="76.5" thickBot="1">
      <c r="A7" s="42" t="s">
        <v>20</v>
      </c>
      <c r="B7" s="43" t="s">
        <v>21</v>
      </c>
      <c r="C7" s="44">
        <f>'P317202504-SBV-ABR25 compensado'!C63+'P317202504-SBV-ABR25 compensado'!C7</f>
        <v>94266</v>
      </c>
      <c r="D7" s="44">
        <f>'P317202504-SBV-ABR25 compensado'!D63+'P317202504-SBV-ABR25 compensado'!D7</f>
        <v>156189</v>
      </c>
      <c r="E7" s="44">
        <f>'P317202504-SBV-ABR25 compensado'!E63+'P317202504-SBV-ABR25 compensado'!E7</f>
        <v>15923</v>
      </c>
      <c r="F7" s="44">
        <f>'P317202504-SBV-ABR25 compensado'!F63+'P317202504-SBV-ABR25 compensado'!F7</f>
        <v>0</v>
      </c>
      <c r="G7" s="45">
        <f>'P317202504-SBV-ABR25 compensado'!G63+'P317202504-SBV-ABR25 compensado'!G7</f>
        <v>266378</v>
      </c>
      <c r="H7" s="46">
        <f>MAX('P317202504-SBV-ABR25 compensado'!H63,'P317202504-SBV-ABR25 compensado'!H7)</f>
        <v>756</v>
      </c>
      <c r="I7" s="46">
        <f>MAX('P317202504-SBV-ABR25 compensado'!I63,'P317202504-SBV-ABR25 compensado'!I7)</f>
        <v>790</v>
      </c>
      <c r="J7" s="46">
        <f>MAX('P317202504-SBV-ABR25 compensado'!J63,'P317202504-SBV-ABR25 compensado'!J7)</f>
        <v>743</v>
      </c>
      <c r="K7" s="46">
        <f>MAX('P317202504-SBV-ABR25 compensado'!K63,'P317202504-SBV-ABR25 compensado'!K7)</f>
        <v>0</v>
      </c>
      <c r="L7" s="45">
        <f>'P317202504-SBV-ABR25 compensado'!L63+'P317202504-SBV-ABR25 compensado'!L7</f>
        <v>0</v>
      </c>
    </row>
    <row r="8" spans="1:12" ht="31.5" thickBot="1">
      <c r="A8" s="47"/>
      <c r="B8" s="43" t="s">
        <v>22</v>
      </c>
      <c r="C8" s="44">
        <f>'P317202504-SBV-ABR25 compensado'!C64+'P317202504-SBV-ABR25 compensado'!C8</f>
        <v>8439</v>
      </c>
      <c r="D8" s="44">
        <f>'P317202504-SBV-ABR25 compensado'!D64+'P317202504-SBV-ABR25 compensado'!D8</f>
        <v>36754</v>
      </c>
      <c r="E8" s="44">
        <f>'P317202504-SBV-ABR25 compensado'!E64+'P317202504-SBV-ABR25 compensado'!E8</f>
        <v>6097</v>
      </c>
      <c r="F8" s="44">
        <f>'P317202504-SBV-ABR25 compensado'!F64+'P317202504-SBV-ABR25 compensado'!F8</f>
        <v>0</v>
      </c>
      <c r="G8" s="45">
        <f>'P317202504-SBV-ABR25 compensado'!G64+'P317202504-SBV-ABR25 compensado'!G8</f>
        <v>51291</v>
      </c>
      <c r="H8" s="46">
        <f>MAX('P317202504-SBV-ABR25 compensado'!H64,'P317202504-SBV-ABR25 compensado'!H8)</f>
        <v>270</v>
      </c>
      <c r="I8" s="46">
        <f>MAX('P317202504-SBV-ABR25 compensado'!I64,'P317202504-SBV-ABR25 compensado'!I8)</f>
        <v>336</v>
      </c>
      <c r="J8" s="46">
        <f>MAX('P317202504-SBV-ABR25 compensado'!J64,'P317202504-SBV-ABR25 compensado'!J8)</f>
        <v>271</v>
      </c>
      <c r="K8" s="46">
        <f>MAX('P317202504-SBV-ABR25 compensado'!K64,'P317202504-SBV-ABR25 compensado'!K8)</f>
        <v>0</v>
      </c>
      <c r="L8" s="45">
        <f>'P317202504-SBV-ABR25 compensado'!L64+'P317202504-SBV-ABR25 compensado'!L8</f>
        <v>0</v>
      </c>
    </row>
    <row r="9" spans="1:12" ht="106.5" thickBot="1">
      <c r="A9" s="47"/>
      <c r="B9" s="43" t="s">
        <v>23</v>
      </c>
      <c r="C9" s="44">
        <f>'P317202504-SBV-ABR25 compensado'!C65+'P317202504-SBV-ABR25 compensado'!C9</f>
        <v>8439</v>
      </c>
      <c r="D9" s="44">
        <f>'P317202504-SBV-ABR25 compensado'!D65+'P317202504-SBV-ABR25 compensado'!D9</f>
        <v>36754</v>
      </c>
      <c r="E9" s="44">
        <f>'P317202504-SBV-ABR25 compensado'!E65+'P317202504-SBV-ABR25 compensado'!E9</f>
        <v>6097</v>
      </c>
      <c r="F9" s="44">
        <f>'P317202504-SBV-ABR25 compensado'!F65+'P317202504-SBV-ABR25 compensado'!F9</f>
        <v>0</v>
      </c>
      <c r="G9" s="45">
        <f>'P317202504-SBV-ABR25 compensado'!G65+'P317202504-SBV-ABR25 compensado'!G9</f>
        <v>51291</v>
      </c>
      <c r="H9" s="46">
        <f>MAX('P317202504-SBV-ABR25 compensado'!H65,'P317202504-SBV-ABR25 compensado'!H9)</f>
        <v>270</v>
      </c>
      <c r="I9" s="46">
        <f>MAX('P317202504-SBV-ABR25 compensado'!I65,'P317202504-SBV-ABR25 compensado'!I9)</f>
        <v>336</v>
      </c>
      <c r="J9" s="46">
        <f>MAX('P317202504-SBV-ABR25 compensado'!J65,'P317202504-SBV-ABR25 compensado'!J9)</f>
        <v>271</v>
      </c>
      <c r="K9" s="46">
        <f>MAX('P317202504-SBV-ABR25 compensado'!K65,'P317202504-SBV-ABR25 compensado'!K9)</f>
        <v>0</v>
      </c>
      <c r="L9" s="45">
        <f>'P317202504-SBV-ABR25 compensado'!L65+'P317202504-SBV-ABR25 compensado'!L9</f>
        <v>17791</v>
      </c>
    </row>
    <row r="10" spans="1:12" ht="91.5" thickBot="1">
      <c r="A10" s="47"/>
      <c r="B10" s="43" t="s">
        <v>24</v>
      </c>
      <c r="C10" s="44">
        <f>'P317202504-SBV-ABR25 compensado'!C66+'P317202504-SBV-ABR25 compensado'!C10</f>
        <v>0</v>
      </c>
      <c r="D10" s="44">
        <f>'P317202504-SBV-ABR25 compensado'!D66+'P317202504-SBV-ABR25 compensado'!D10</f>
        <v>0</v>
      </c>
      <c r="E10" s="44">
        <f>'P317202504-SBV-ABR25 compensado'!E66+'P317202504-SBV-ABR25 compensado'!E10</f>
        <v>0</v>
      </c>
      <c r="F10" s="44">
        <f>'P317202504-SBV-ABR25 compensado'!F66+'P317202504-SBV-ABR25 compensado'!F10</f>
        <v>0</v>
      </c>
      <c r="G10" s="45">
        <f>'P317202504-SBV-ABR25 compensado'!G66+'P317202504-SBV-ABR25 compensado'!G10</f>
        <v>0</v>
      </c>
      <c r="H10" s="46">
        <f>MAX('P317202504-SBV-ABR25 compensado'!H66,'P317202504-SBV-ABR25 compensado'!H10)</f>
        <v>0</v>
      </c>
      <c r="I10" s="46">
        <f>MAX('P317202504-SBV-ABR25 compensado'!I66,'P317202504-SBV-ABR25 compensado'!I10)</f>
        <v>0</v>
      </c>
      <c r="J10" s="46">
        <f>MAX('P317202504-SBV-ABR25 compensado'!J66,'P317202504-SBV-ABR25 compensado'!J10)</f>
        <v>0</v>
      </c>
      <c r="K10" s="46">
        <f>MAX('P317202504-SBV-ABR25 compensado'!K66,'P317202504-SBV-ABR25 compensado'!K10)</f>
        <v>0</v>
      </c>
      <c r="L10" s="45">
        <f>'P317202504-SBV-ABR25 compensado'!L66+'P317202504-SBV-ABR25 compensado'!L10</f>
        <v>0</v>
      </c>
    </row>
    <row r="11" spans="1:12" ht="91.5" thickBot="1">
      <c r="A11" s="47"/>
      <c r="B11" s="43" t="s">
        <v>25</v>
      </c>
      <c r="C11" s="44">
        <f>'P317202504-SBV-ABR25 compensado'!C67+'P317202504-SBV-ABR25 compensado'!C11</f>
        <v>0</v>
      </c>
      <c r="D11" s="44">
        <f>'P317202504-SBV-ABR25 compensado'!D67+'P317202504-SBV-ABR25 compensado'!D11</f>
        <v>0</v>
      </c>
      <c r="E11" s="44">
        <f>'P317202504-SBV-ABR25 compensado'!E67+'P317202504-SBV-ABR25 compensado'!E11</f>
        <v>0</v>
      </c>
      <c r="F11" s="44">
        <f>'P317202504-SBV-ABR25 compensado'!F67+'P317202504-SBV-ABR25 compensado'!F11</f>
        <v>0</v>
      </c>
      <c r="G11" s="45">
        <f>'P317202504-SBV-ABR25 compensado'!G67+'P317202504-SBV-ABR25 compensado'!G11</f>
        <v>0</v>
      </c>
      <c r="H11" s="46">
        <f>MAX('P317202504-SBV-ABR25 compensado'!H67,'P317202504-SBV-ABR25 compensado'!H11)</f>
        <v>0</v>
      </c>
      <c r="I11" s="46">
        <f>MAX('P317202504-SBV-ABR25 compensado'!I67,'P317202504-SBV-ABR25 compensado'!I11)</f>
        <v>0</v>
      </c>
      <c r="J11" s="46">
        <f>MAX('P317202504-SBV-ABR25 compensado'!J67,'P317202504-SBV-ABR25 compensado'!J11)</f>
        <v>0</v>
      </c>
      <c r="K11" s="46">
        <f>MAX('P317202504-SBV-ABR25 compensado'!K67,'P317202504-SBV-ABR25 compensado'!K11)</f>
        <v>0</v>
      </c>
      <c r="L11" s="45">
        <f>'P317202504-SBV-ABR25 compensado'!L67+'P317202504-SBV-ABR25 compensado'!L11</f>
        <v>0</v>
      </c>
    </row>
    <row r="12" spans="1:12" ht="31.5" thickBot="1">
      <c r="A12" s="47"/>
      <c r="B12" s="43" t="s">
        <v>26</v>
      </c>
      <c r="C12" s="44">
        <f>'P317202504-SBV-ABR25 compensado'!C68+'P317202504-SBV-ABR25 compensado'!C12</f>
        <v>0</v>
      </c>
      <c r="D12" s="44">
        <f>'P317202504-SBV-ABR25 compensado'!D68+'P317202504-SBV-ABR25 compensado'!D12</f>
        <v>0</v>
      </c>
      <c r="E12" s="44">
        <f>'P317202504-SBV-ABR25 compensado'!E68+'P317202504-SBV-ABR25 compensado'!E12</f>
        <v>0</v>
      </c>
      <c r="F12" s="44">
        <f>'P317202504-SBV-ABR25 compensado'!F68+'P317202504-SBV-ABR25 compensado'!F12</f>
        <v>0</v>
      </c>
      <c r="G12" s="45">
        <f>'P317202504-SBV-ABR25 compensado'!G68+'P317202504-SBV-ABR25 compensado'!G12</f>
        <v>0</v>
      </c>
      <c r="H12" s="46">
        <f>MAX('P317202504-SBV-ABR25 compensado'!H68,'P317202504-SBV-ABR25 compensado'!H12)</f>
        <v>692</v>
      </c>
      <c r="I12" s="46">
        <f>MAX('P317202504-SBV-ABR25 compensado'!I68,'P317202504-SBV-ABR25 compensado'!I12)</f>
        <v>679</v>
      </c>
      <c r="J12" s="46">
        <f>MAX('P317202504-SBV-ABR25 compensado'!J68,'P317202504-SBV-ABR25 compensado'!J12)</f>
        <v>573</v>
      </c>
      <c r="K12" s="46">
        <f>MAX('P317202504-SBV-ABR25 compensado'!K68,'P317202504-SBV-ABR25 compensado'!K12)</f>
        <v>0</v>
      </c>
      <c r="L12" s="45">
        <f>'P317202504-SBV-ABR25 compensado'!L68+'P317202504-SBV-ABR25 compensado'!L12</f>
        <v>0</v>
      </c>
    </row>
    <row r="13" spans="1:12" ht="16.5" thickBot="1">
      <c r="A13" s="47"/>
      <c r="B13" s="43" t="s">
        <v>27</v>
      </c>
      <c r="C13" s="44">
        <f>'P317202504-SBV-ABR25 compensado'!C69+'P317202504-SBV-ABR25 compensado'!C13</f>
        <v>96272</v>
      </c>
      <c r="D13" s="44">
        <f>'P317202504-SBV-ABR25 compensado'!D69+'P317202504-SBV-ABR25 compensado'!D13</f>
        <v>155101</v>
      </c>
      <c r="E13" s="44">
        <f>'P317202504-SBV-ABR25 compensado'!E69+'P317202504-SBV-ABR25 compensado'!E13</f>
        <v>15925</v>
      </c>
      <c r="F13" s="44">
        <f>'P317202504-SBV-ABR25 compensado'!F69+'P317202504-SBV-ABR25 compensado'!F13</f>
        <v>0</v>
      </c>
      <c r="G13" s="45">
        <f>'P317202504-SBV-ABR25 compensado'!G69+'P317202504-SBV-ABR25 compensado'!G13</f>
        <v>267298</v>
      </c>
      <c r="H13" s="46">
        <f>MAX('P317202504-SBV-ABR25 compensado'!H69,'P317202504-SBV-ABR25 compensado'!H13)</f>
        <v>926</v>
      </c>
      <c r="I13" s="46">
        <f>MAX('P317202504-SBV-ABR25 compensado'!I69,'P317202504-SBV-ABR25 compensado'!I13)</f>
        <v>924</v>
      </c>
      <c r="J13" s="46">
        <f>MAX('P317202504-SBV-ABR25 compensado'!J69,'P317202504-SBV-ABR25 compensado'!J13)</f>
        <v>907</v>
      </c>
      <c r="K13" s="46">
        <f>MAX('P317202504-SBV-ABR25 compensado'!K69,'P317202504-SBV-ABR25 compensado'!K13)</f>
        <v>0</v>
      </c>
      <c r="L13" s="45">
        <f>'P317202504-SBV-ABR25 compensado'!L69+'P317202504-SBV-ABR25 compensado'!L13</f>
        <v>2321</v>
      </c>
    </row>
    <row r="14" spans="1:12" ht="16.5" thickBot="1">
      <c r="A14" s="47"/>
      <c r="B14" s="43" t="s">
        <v>28</v>
      </c>
      <c r="C14" s="44">
        <f>'P317202504-SBV-ABR25 compensado'!C70+'P317202504-SBV-ABR25 compensado'!C14</f>
        <v>8458</v>
      </c>
      <c r="D14" s="44">
        <f>'P317202504-SBV-ABR25 compensado'!D70+'P317202504-SBV-ABR25 compensado'!D14</f>
        <v>36864</v>
      </c>
      <c r="E14" s="44">
        <f>'P317202504-SBV-ABR25 compensado'!E70+'P317202504-SBV-ABR25 compensado'!E14</f>
        <v>6099</v>
      </c>
      <c r="F14" s="44">
        <f>'P317202504-SBV-ABR25 compensado'!F70+'P317202504-SBV-ABR25 compensado'!F14</f>
        <v>0</v>
      </c>
      <c r="G14" s="45">
        <f>'P317202504-SBV-ABR25 compensado'!G70+'P317202504-SBV-ABR25 compensado'!G14</f>
        <v>51421</v>
      </c>
      <c r="H14" s="46">
        <f>MAX('P317202504-SBV-ABR25 compensado'!H70,'P317202504-SBV-ABR25 compensado'!H14)</f>
        <v>292</v>
      </c>
      <c r="I14" s="46">
        <f>MAX('P317202504-SBV-ABR25 compensado'!I70,'P317202504-SBV-ABR25 compensado'!I14)</f>
        <v>336</v>
      </c>
      <c r="J14" s="46">
        <f>MAX('P317202504-SBV-ABR25 compensado'!J70,'P317202504-SBV-ABR25 compensado'!J14)</f>
        <v>271</v>
      </c>
      <c r="K14" s="46">
        <f>MAX('P317202504-SBV-ABR25 compensado'!K70,'P317202504-SBV-ABR25 compensado'!K14)</f>
        <v>0</v>
      </c>
      <c r="L14" s="45">
        <f>'P317202504-SBV-ABR25 compensado'!L70+'P317202504-SBV-ABR25 compensado'!L14</f>
        <v>17843</v>
      </c>
    </row>
    <row r="15" spans="1:12" ht="61.5" thickBot="1">
      <c r="A15" s="47"/>
      <c r="B15" s="43" t="s">
        <v>29</v>
      </c>
      <c r="C15" s="44">
        <f>'P317202504-SBV-ABR25 compensado'!C71+'P317202504-SBV-ABR25 compensado'!C15</f>
        <v>0</v>
      </c>
      <c r="D15" s="44">
        <f>'P317202504-SBV-ABR25 compensado'!D71+'P317202504-SBV-ABR25 compensado'!D15</f>
        <v>0</v>
      </c>
      <c r="E15" s="44">
        <f>'P317202504-SBV-ABR25 compensado'!E71+'P317202504-SBV-ABR25 compensado'!E15</f>
        <v>0</v>
      </c>
      <c r="F15" s="44">
        <f>'P317202504-SBV-ABR25 compensado'!F71+'P317202504-SBV-ABR25 compensado'!F15</f>
        <v>0</v>
      </c>
      <c r="G15" s="45">
        <f>'P317202504-SBV-ABR25 compensado'!G71+'P317202504-SBV-ABR25 compensado'!G15</f>
        <v>0</v>
      </c>
      <c r="H15" s="46">
        <f>MAX('P317202504-SBV-ABR25 compensado'!H71,'P317202504-SBV-ABR25 compensado'!H15)</f>
        <v>0</v>
      </c>
      <c r="I15" s="46">
        <f>MAX('P317202504-SBV-ABR25 compensado'!I71,'P317202504-SBV-ABR25 compensado'!I15)</f>
        <v>0</v>
      </c>
      <c r="J15" s="46">
        <f>MAX('P317202504-SBV-ABR25 compensado'!J71,'P317202504-SBV-ABR25 compensado'!J15)</f>
        <v>0</v>
      </c>
      <c r="K15" s="46">
        <f>MAX('P317202504-SBV-ABR25 compensado'!K71,'P317202504-SBV-ABR25 compensado'!K15)</f>
        <v>0</v>
      </c>
      <c r="L15" s="45">
        <f>'P317202504-SBV-ABR25 compensado'!L71+'P317202504-SBV-ABR25 compensado'!L15</f>
        <v>0</v>
      </c>
    </row>
    <row r="16" spans="1:12" ht="46.5" thickBot="1">
      <c r="A16" s="48"/>
      <c r="B16" s="43" t="s">
        <v>30</v>
      </c>
      <c r="C16" s="44">
        <f>'P317202504-SBV-ABR25 compensado'!C72+'P317202504-SBV-ABR25 compensado'!C16</f>
        <v>0</v>
      </c>
      <c r="D16" s="44">
        <f>'P317202504-SBV-ABR25 compensado'!D72+'P317202504-SBV-ABR25 compensado'!D16</f>
        <v>0</v>
      </c>
      <c r="E16" s="44">
        <f>'P317202504-SBV-ABR25 compensado'!E72+'P317202504-SBV-ABR25 compensado'!E16</f>
        <v>0</v>
      </c>
      <c r="F16" s="44">
        <f>'P317202504-SBV-ABR25 compensado'!F72+'P317202504-SBV-ABR25 compensado'!F16</f>
        <v>0</v>
      </c>
      <c r="G16" s="45">
        <f>'P317202504-SBV-ABR25 compensado'!G72+'P317202504-SBV-ABR25 compensado'!G16</f>
        <v>0</v>
      </c>
      <c r="H16" s="46">
        <f>MAX('P317202504-SBV-ABR25 compensado'!H72,'P317202504-SBV-ABR25 compensado'!H16)</f>
        <v>0</v>
      </c>
      <c r="I16" s="46">
        <f>MAX('P317202504-SBV-ABR25 compensado'!I72,'P317202504-SBV-ABR25 compensado'!I16)</f>
        <v>0</v>
      </c>
      <c r="J16" s="46">
        <f>MAX('P317202504-SBV-ABR25 compensado'!J72,'P317202504-SBV-ABR25 compensado'!J16)</f>
        <v>0</v>
      </c>
      <c r="K16" s="46">
        <f>MAX('P317202504-SBV-ABR25 compensado'!K72,'P317202504-SBV-ABR25 compensado'!K16)</f>
        <v>0</v>
      </c>
      <c r="L16" s="45">
        <f>'P317202504-SBV-ABR25 compensado'!L72+'P317202504-SBV-ABR25 compensado'!L16</f>
        <v>0</v>
      </c>
    </row>
    <row r="17" spans="1:12" ht="32.25" thickBot="1">
      <c r="A17" s="49"/>
      <c r="B17" s="50" t="s">
        <v>31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</row>
    <row r="18" spans="1:12" ht="91.5" thickBot="1">
      <c r="A18" s="52">
        <v>1</v>
      </c>
      <c r="B18" s="43" t="s">
        <v>32</v>
      </c>
      <c r="C18" s="44">
        <f>'P317202504-SBV-ABR25 compensado'!C74+'P317202504-SBV-ABR25 compensado'!C18</f>
        <v>13202</v>
      </c>
      <c r="D18" s="44">
        <f>'P317202504-SBV-ABR25 compensado'!D74+'P317202504-SBV-ABR25 compensado'!D18</f>
        <v>35511</v>
      </c>
      <c r="E18" s="44">
        <f>'P317202504-SBV-ABR25 compensado'!E74+'P317202504-SBV-ABR25 compensado'!E18</f>
        <v>4567</v>
      </c>
      <c r="F18" s="44">
        <f>'P317202504-SBV-ABR25 compensado'!F74+'P317202504-SBV-ABR25 compensado'!F18</f>
        <v>0</v>
      </c>
      <c r="G18" s="45">
        <f>'P317202504-SBV-ABR25 compensado'!G74+'P317202504-SBV-ABR25 compensado'!G18</f>
        <v>53280</v>
      </c>
      <c r="H18" s="46">
        <f>MAX('P317202504-SBV-ABR25 compensado'!H74,'P317202504-SBV-ABR25 compensado'!H18)</f>
        <v>134</v>
      </c>
      <c r="I18" s="46">
        <f>MAX('P317202504-SBV-ABR25 compensado'!I74,'P317202504-SBV-ABR25 compensado'!I18)</f>
        <v>138</v>
      </c>
      <c r="J18" s="46">
        <f>MAX('P317202504-SBV-ABR25 compensado'!J74,'P317202504-SBV-ABR25 compensado'!J18)</f>
        <v>118</v>
      </c>
      <c r="K18" s="46">
        <f>MAX('P317202504-SBV-ABR25 compensado'!K74,'P317202504-SBV-ABR25 compensado'!K18)</f>
        <v>0</v>
      </c>
      <c r="L18" s="45">
        <f>'P317202504-SBV-ABR25 compensado'!L74+'P317202504-SBV-ABR25 compensado'!L18</f>
        <v>21438</v>
      </c>
    </row>
    <row r="19" spans="1:12" ht="121.5" thickBot="1">
      <c r="A19" s="52">
        <v>2</v>
      </c>
      <c r="B19" s="43" t="s">
        <v>33</v>
      </c>
      <c r="C19" s="44">
        <f>'P317202504-SBV-ABR25 compensado'!C75+'P317202504-SBV-ABR25 compensado'!C19</f>
        <v>14394</v>
      </c>
      <c r="D19" s="44">
        <f>'P317202504-SBV-ABR25 compensado'!D75+'P317202504-SBV-ABR25 compensado'!D19</f>
        <v>52762</v>
      </c>
      <c r="E19" s="44">
        <f>'P317202504-SBV-ABR25 compensado'!E75+'P317202504-SBV-ABR25 compensado'!E19</f>
        <v>4158</v>
      </c>
      <c r="F19" s="44">
        <f>'P317202504-SBV-ABR25 compensado'!F75+'P317202504-SBV-ABR25 compensado'!F19</f>
        <v>0</v>
      </c>
      <c r="G19" s="45">
        <f>'P317202504-SBV-ABR25 compensado'!G75+'P317202504-SBV-ABR25 compensado'!G19</f>
        <v>71314</v>
      </c>
      <c r="H19" s="46">
        <f>MAX('P317202504-SBV-ABR25 compensado'!H75,'P317202504-SBV-ABR25 compensado'!H19)</f>
        <v>350</v>
      </c>
      <c r="I19" s="46">
        <f>MAX('P317202504-SBV-ABR25 compensado'!I75,'P317202504-SBV-ABR25 compensado'!I19)</f>
        <v>396</v>
      </c>
      <c r="J19" s="46">
        <f>MAX('P317202504-SBV-ABR25 compensado'!J75,'P317202504-SBV-ABR25 compensado'!J19)</f>
        <v>156</v>
      </c>
      <c r="K19" s="46">
        <f>MAX('P317202504-SBV-ABR25 compensado'!K75,'P317202504-SBV-ABR25 compensado'!K19)</f>
        <v>0</v>
      </c>
      <c r="L19" s="45">
        <f>'P317202504-SBV-ABR25 compensado'!L75+'P317202504-SBV-ABR25 compensado'!L19</f>
        <v>19019</v>
      </c>
    </row>
    <row r="20" spans="1:12" ht="121.5" thickBot="1">
      <c r="A20" s="52">
        <v>3</v>
      </c>
      <c r="B20" s="43" t="s">
        <v>34</v>
      </c>
      <c r="C20" s="44">
        <f>'P317202504-SBV-ABR25 compensado'!C76+'P317202504-SBV-ABR25 compensado'!C20</f>
        <v>19504</v>
      </c>
      <c r="D20" s="44">
        <f>'P317202504-SBV-ABR25 compensado'!D76+'P317202504-SBV-ABR25 compensado'!D20</f>
        <v>106052</v>
      </c>
      <c r="E20" s="44">
        <f>'P317202504-SBV-ABR25 compensado'!E76+'P317202504-SBV-ABR25 compensado'!E20</f>
        <v>7559</v>
      </c>
      <c r="F20" s="44">
        <f>'P317202504-SBV-ABR25 compensado'!F76+'P317202504-SBV-ABR25 compensado'!F20</f>
        <v>0</v>
      </c>
      <c r="G20" s="45">
        <f>'P317202504-SBV-ABR25 compensado'!G76+'P317202504-SBV-ABR25 compensado'!G20</f>
        <v>133114</v>
      </c>
      <c r="H20" s="46">
        <f>MAX('P317202504-SBV-ABR25 compensado'!H76,'P317202504-SBV-ABR25 compensado'!H20)</f>
        <v>483</v>
      </c>
      <c r="I20" s="46">
        <f>MAX('P317202504-SBV-ABR25 compensado'!I76,'P317202504-SBV-ABR25 compensado'!I20)</f>
        <v>495</v>
      </c>
      <c r="J20" s="46">
        <f>MAX('P317202504-SBV-ABR25 compensado'!J76,'P317202504-SBV-ABR25 compensado'!J20)</f>
        <v>371</v>
      </c>
      <c r="K20" s="46">
        <f>MAX('P317202504-SBV-ABR25 compensado'!K76,'P317202504-SBV-ABR25 compensado'!K20)</f>
        <v>0</v>
      </c>
      <c r="L20" s="45">
        <f>'P317202504-SBV-ABR25 compensado'!L76+'P317202504-SBV-ABR25 compensado'!L20</f>
        <v>68346</v>
      </c>
    </row>
    <row r="21" spans="1:12" ht="121.5" thickBot="1">
      <c r="A21" s="52">
        <v>4</v>
      </c>
      <c r="B21" s="43" t="s">
        <v>35</v>
      </c>
      <c r="C21" s="44">
        <f>'P317202504-SBV-ABR25 compensado'!C77+'P317202504-SBV-ABR25 compensado'!C21</f>
        <v>18328</v>
      </c>
      <c r="D21" s="44">
        <f>'P317202504-SBV-ABR25 compensado'!D77+'P317202504-SBV-ABR25 compensado'!D21</f>
        <v>91312</v>
      </c>
      <c r="E21" s="44">
        <f>'P317202504-SBV-ABR25 compensado'!E77+'P317202504-SBV-ABR25 compensado'!E21</f>
        <v>8871</v>
      </c>
      <c r="F21" s="44">
        <f>'P317202504-SBV-ABR25 compensado'!F77+'P317202504-SBV-ABR25 compensado'!F21</f>
        <v>0</v>
      </c>
      <c r="G21" s="45">
        <f>'P317202504-SBV-ABR25 compensado'!G77+'P317202504-SBV-ABR25 compensado'!G21</f>
        <v>118511</v>
      </c>
      <c r="H21" s="46">
        <f>MAX('P317202504-SBV-ABR25 compensado'!H77,'P317202504-SBV-ABR25 compensado'!H21)</f>
        <v>506</v>
      </c>
      <c r="I21" s="46">
        <f>MAX('P317202504-SBV-ABR25 compensado'!I77,'P317202504-SBV-ABR25 compensado'!I21)</f>
        <v>506</v>
      </c>
      <c r="J21" s="46">
        <f>MAX('P317202504-SBV-ABR25 compensado'!J77,'P317202504-SBV-ABR25 compensado'!J21)</f>
        <v>435</v>
      </c>
      <c r="K21" s="46">
        <f>MAX('P317202504-SBV-ABR25 compensado'!K77,'P317202504-SBV-ABR25 compensado'!K21)</f>
        <v>0</v>
      </c>
      <c r="L21" s="45">
        <f>'P317202504-SBV-ABR25 compensado'!L77+'P317202504-SBV-ABR25 compensado'!L21</f>
        <v>37877</v>
      </c>
    </row>
    <row r="22" spans="1:12" ht="121.5" thickBot="1">
      <c r="A22" s="52">
        <v>5</v>
      </c>
      <c r="B22" s="43" t="s">
        <v>36</v>
      </c>
      <c r="C22" s="44">
        <f>'P317202504-SBV-ABR25 compensado'!C78+'P317202504-SBV-ABR25 compensado'!C22</f>
        <v>22661</v>
      </c>
      <c r="D22" s="44">
        <f>'P317202504-SBV-ABR25 compensado'!D78+'P317202504-SBV-ABR25 compensado'!D22</f>
        <v>70259</v>
      </c>
      <c r="E22" s="44">
        <f>'P317202504-SBV-ABR25 compensado'!E78+'P317202504-SBV-ABR25 compensado'!E22</f>
        <v>8758</v>
      </c>
      <c r="F22" s="44">
        <f>'P317202504-SBV-ABR25 compensado'!F78+'P317202504-SBV-ABR25 compensado'!F22</f>
        <v>0</v>
      </c>
      <c r="G22" s="45">
        <f>'P317202504-SBV-ABR25 compensado'!G78+'P317202504-SBV-ABR25 compensado'!G22</f>
        <v>101679</v>
      </c>
      <c r="H22" s="46">
        <f>MAX('P317202504-SBV-ABR25 compensado'!H78,'P317202504-SBV-ABR25 compensado'!H22)</f>
        <v>231</v>
      </c>
      <c r="I22" s="46">
        <f>MAX('P317202504-SBV-ABR25 compensado'!I78,'P317202504-SBV-ABR25 compensado'!I22)</f>
        <v>240</v>
      </c>
      <c r="J22" s="46">
        <f>MAX('P317202504-SBV-ABR25 compensado'!J78,'P317202504-SBV-ABR25 compensado'!J22)</f>
        <v>220</v>
      </c>
      <c r="K22" s="46">
        <f>MAX('P317202504-SBV-ABR25 compensado'!K78,'P317202504-SBV-ABR25 compensado'!K22)</f>
        <v>0</v>
      </c>
      <c r="L22" s="45">
        <f>'P317202504-SBV-ABR25 compensado'!L78+'P317202504-SBV-ABR25 compensado'!L22</f>
        <v>48293</v>
      </c>
    </row>
    <row r="23" spans="1:12" ht="91.5" thickBot="1">
      <c r="A23" s="52">
        <v>6</v>
      </c>
      <c r="B23" s="43" t="s">
        <v>37</v>
      </c>
      <c r="C23" s="44">
        <f>'P317202504-SBV-ABR25 compensado'!C79+'P317202504-SBV-ABR25 compensado'!C23</f>
        <v>17539</v>
      </c>
      <c r="D23" s="44">
        <f>'P317202504-SBV-ABR25 compensado'!D79+'P317202504-SBV-ABR25 compensado'!D23</f>
        <v>47652</v>
      </c>
      <c r="E23" s="44">
        <f>'P317202504-SBV-ABR25 compensado'!E79+'P317202504-SBV-ABR25 compensado'!E23</f>
        <v>5036</v>
      </c>
      <c r="F23" s="44">
        <f>'P317202504-SBV-ABR25 compensado'!F79+'P317202504-SBV-ABR25 compensado'!F23</f>
        <v>0</v>
      </c>
      <c r="G23" s="45">
        <f>'P317202504-SBV-ABR25 compensado'!G79+'P317202504-SBV-ABR25 compensado'!G23</f>
        <v>70227</v>
      </c>
      <c r="H23" s="46">
        <f>MAX('P317202504-SBV-ABR25 compensado'!H79,'P317202504-SBV-ABR25 compensado'!H23)</f>
        <v>178</v>
      </c>
      <c r="I23" s="46">
        <f>MAX('P317202504-SBV-ABR25 compensado'!I79,'P317202504-SBV-ABR25 compensado'!I23)</f>
        <v>184</v>
      </c>
      <c r="J23" s="46">
        <f>MAX('P317202504-SBV-ABR25 compensado'!J79,'P317202504-SBV-ABR25 compensado'!J23)</f>
        <v>137</v>
      </c>
      <c r="K23" s="46">
        <f>MAX('P317202504-SBV-ABR25 compensado'!K79,'P317202504-SBV-ABR25 compensado'!K23)</f>
        <v>0</v>
      </c>
      <c r="L23" s="45">
        <f>'P317202504-SBV-ABR25 compensado'!L79+'P317202504-SBV-ABR25 compensado'!L23</f>
        <v>28697</v>
      </c>
    </row>
    <row r="24" spans="1:12" ht="121.5" thickBot="1">
      <c r="A24" s="52">
        <v>7</v>
      </c>
      <c r="B24" s="43" t="s">
        <v>38</v>
      </c>
      <c r="C24" s="44">
        <f>'P317202504-SBV-ABR25 compensado'!C80+'P317202504-SBV-ABR25 compensado'!C24</f>
        <v>8439</v>
      </c>
      <c r="D24" s="44">
        <f>'P317202504-SBV-ABR25 compensado'!D80+'P317202504-SBV-ABR25 compensado'!D24</f>
        <v>36754</v>
      </c>
      <c r="E24" s="44">
        <f>'P317202504-SBV-ABR25 compensado'!E80+'P317202504-SBV-ABR25 compensado'!E24</f>
        <v>6097</v>
      </c>
      <c r="F24" s="44">
        <f>'P317202504-SBV-ABR25 compensado'!F80+'P317202504-SBV-ABR25 compensado'!F24</f>
        <v>0</v>
      </c>
      <c r="G24" s="45">
        <f>'P317202504-SBV-ABR25 compensado'!G80+'P317202504-SBV-ABR25 compensado'!G24</f>
        <v>51291</v>
      </c>
      <c r="H24" s="46">
        <f>MAX('P317202504-SBV-ABR25 compensado'!H80,'P317202504-SBV-ABR25 compensado'!H24)</f>
        <v>270</v>
      </c>
      <c r="I24" s="46">
        <f>MAX('P317202504-SBV-ABR25 compensado'!I80,'P317202504-SBV-ABR25 compensado'!I24)</f>
        <v>336</v>
      </c>
      <c r="J24" s="46">
        <f>MAX('P317202504-SBV-ABR25 compensado'!J80,'P317202504-SBV-ABR25 compensado'!J24)</f>
        <v>271</v>
      </c>
      <c r="K24" s="46">
        <f>MAX('P317202504-SBV-ABR25 compensado'!K80,'P317202504-SBV-ABR25 compensado'!K24)</f>
        <v>0</v>
      </c>
      <c r="L24" s="45">
        <f>'P317202504-SBV-ABR25 compensado'!L80+'P317202504-SBV-ABR25 compensado'!L24</f>
        <v>17842</v>
      </c>
    </row>
    <row r="25" spans="1:12" ht="63.75" thickBot="1">
      <c r="A25" s="49"/>
      <c r="B25" s="50" t="s">
        <v>39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spans="1:12" ht="91.5" thickBot="1">
      <c r="A26" s="52">
        <v>1</v>
      </c>
      <c r="B26" s="43" t="s">
        <v>32</v>
      </c>
      <c r="C26" s="44">
        <f>'P317202504-SBV-ABR25 compensado'!C82+'P317202504-SBV-ABR25 compensado'!C26</f>
        <v>71</v>
      </c>
      <c r="D26" s="44">
        <f>'P317202504-SBV-ABR25 compensado'!D82+'P317202504-SBV-ABR25 compensado'!D26</f>
        <v>13239</v>
      </c>
      <c r="E26" s="44">
        <f>'P317202504-SBV-ABR25 compensado'!E82+'P317202504-SBV-ABR25 compensado'!E26</f>
        <v>2715</v>
      </c>
      <c r="F26" s="44">
        <f>'P317202504-SBV-ABR25 compensado'!F82+'P317202504-SBV-ABR25 compensado'!F26</f>
        <v>0</v>
      </c>
      <c r="G26" s="45">
        <f>'P317202504-SBV-ABR25 compensado'!G82+'P317202504-SBV-ABR25 compensado'!G26</f>
        <v>16025</v>
      </c>
      <c r="H26" s="46">
        <f>MAX('P317202504-SBV-ABR25 compensado'!H82,'P317202504-SBV-ABR25 compensado'!H26)</f>
        <v>55</v>
      </c>
      <c r="I26" s="46">
        <f>MAX('P317202504-SBV-ABR25 compensado'!I82,'P317202504-SBV-ABR25 compensado'!I26)</f>
        <v>58</v>
      </c>
      <c r="J26" s="46">
        <f>MAX('P317202504-SBV-ABR25 compensado'!J82,'P317202504-SBV-ABR25 compensado'!J26)</f>
        <v>39</v>
      </c>
      <c r="K26" s="46">
        <f>MAX('P317202504-SBV-ABR25 compensado'!K82,'P317202504-SBV-ABR25 compensado'!K26)</f>
        <v>0</v>
      </c>
      <c r="L26" s="45">
        <f>'P317202504-SBV-ABR25 compensado'!L82+'P317202504-SBV-ABR25 compensado'!L26</f>
        <v>0</v>
      </c>
    </row>
    <row r="27" spans="1:12" ht="121.5" thickBot="1">
      <c r="A27" s="52">
        <v>2</v>
      </c>
      <c r="B27" s="43" t="s">
        <v>33</v>
      </c>
      <c r="C27" s="44">
        <f>'P317202504-SBV-ABR25 compensado'!C83+'P317202504-SBV-ABR25 compensado'!C27</f>
        <v>1695</v>
      </c>
      <c r="D27" s="44">
        <f>'P317202504-SBV-ABR25 compensado'!D83+'P317202504-SBV-ABR25 compensado'!D27</f>
        <v>30830</v>
      </c>
      <c r="E27" s="44">
        <f>'P317202504-SBV-ABR25 compensado'!E83+'P317202504-SBV-ABR25 compensado'!E27</f>
        <v>2653</v>
      </c>
      <c r="F27" s="44">
        <f>'P317202504-SBV-ABR25 compensado'!F83+'P317202504-SBV-ABR25 compensado'!F27</f>
        <v>0</v>
      </c>
      <c r="G27" s="45">
        <f>'P317202504-SBV-ABR25 compensado'!G83+'P317202504-SBV-ABR25 compensado'!G27</f>
        <v>35179</v>
      </c>
      <c r="H27" s="46">
        <f>MAX('P317202504-SBV-ABR25 compensado'!H83,'P317202504-SBV-ABR25 compensado'!H27)</f>
        <v>291</v>
      </c>
      <c r="I27" s="46">
        <f>MAX('P317202504-SBV-ABR25 compensado'!I83,'P317202504-SBV-ABR25 compensado'!I27)</f>
        <v>336</v>
      </c>
      <c r="J27" s="46">
        <f>MAX('P317202504-SBV-ABR25 compensado'!J83,'P317202504-SBV-ABR25 compensado'!J27)</f>
        <v>96</v>
      </c>
      <c r="K27" s="46">
        <f>MAX('P317202504-SBV-ABR25 compensado'!K83,'P317202504-SBV-ABR25 compensado'!K27)</f>
        <v>0</v>
      </c>
      <c r="L27" s="45">
        <f>'P317202504-SBV-ABR25 compensado'!L83+'P317202504-SBV-ABR25 compensado'!L27</f>
        <v>0</v>
      </c>
    </row>
    <row r="28" spans="1:12" ht="121.5" thickBot="1">
      <c r="A28" s="52">
        <v>3</v>
      </c>
      <c r="B28" s="43" t="s">
        <v>34</v>
      </c>
      <c r="C28" s="44">
        <f>'P317202504-SBV-ABR25 compensado'!C84+'P317202504-SBV-ABR25 compensado'!C28</f>
        <v>5803</v>
      </c>
      <c r="D28" s="44">
        <f>'P317202504-SBV-ABR25 compensado'!D84+'P317202504-SBV-ABR25 compensado'!D28</f>
        <v>71904</v>
      </c>
      <c r="E28" s="44">
        <f>'P317202504-SBV-ABR25 compensado'!E84+'P317202504-SBV-ABR25 compensado'!E28</f>
        <v>5192</v>
      </c>
      <c r="F28" s="44">
        <f>'P317202504-SBV-ABR25 compensado'!F84+'P317202504-SBV-ABR25 compensado'!F28</f>
        <v>0</v>
      </c>
      <c r="G28" s="45">
        <f>'P317202504-SBV-ABR25 compensado'!G84+'P317202504-SBV-ABR25 compensado'!G28</f>
        <v>82899</v>
      </c>
      <c r="H28" s="46">
        <f>MAX('P317202504-SBV-ABR25 compensado'!H84,'P317202504-SBV-ABR25 compensado'!H28)</f>
        <v>403</v>
      </c>
      <c r="I28" s="46">
        <f>MAX('P317202504-SBV-ABR25 compensado'!I84,'P317202504-SBV-ABR25 compensado'!I28)</f>
        <v>416</v>
      </c>
      <c r="J28" s="46">
        <f>MAX('P317202504-SBV-ABR25 compensado'!J84,'P317202504-SBV-ABR25 compensado'!J28)</f>
        <v>291</v>
      </c>
      <c r="K28" s="46">
        <f>MAX('P317202504-SBV-ABR25 compensado'!K84,'P317202504-SBV-ABR25 compensado'!K28)</f>
        <v>0</v>
      </c>
      <c r="L28" s="45">
        <f>'P317202504-SBV-ABR25 compensado'!L84+'P317202504-SBV-ABR25 compensado'!L28</f>
        <v>0</v>
      </c>
    </row>
    <row r="29" spans="1:12" ht="121.5" thickBot="1">
      <c r="A29" s="52">
        <v>4</v>
      </c>
      <c r="B29" s="43" t="s">
        <v>35</v>
      </c>
      <c r="C29" s="44">
        <f>'P317202504-SBV-ABR25 compensado'!C85+'P317202504-SBV-ABR25 compensado'!C29</f>
        <v>6493</v>
      </c>
      <c r="D29" s="44">
        <f>'P317202504-SBV-ABR25 compensado'!D85+'P317202504-SBV-ABR25 compensado'!D29</f>
        <v>69810</v>
      </c>
      <c r="E29" s="44">
        <f>'P317202504-SBV-ABR25 compensado'!E85+'P317202504-SBV-ABR25 compensado'!E29</f>
        <v>6387</v>
      </c>
      <c r="F29" s="44">
        <f>'P317202504-SBV-ABR25 compensado'!F85+'P317202504-SBV-ABR25 compensado'!F29</f>
        <v>0</v>
      </c>
      <c r="G29" s="45">
        <f>'P317202504-SBV-ABR25 compensado'!G85+'P317202504-SBV-ABR25 compensado'!G29</f>
        <v>82691</v>
      </c>
      <c r="H29" s="46">
        <f>MAX('P317202504-SBV-ABR25 compensado'!H85,'P317202504-SBV-ABR25 compensado'!H29)</f>
        <v>447</v>
      </c>
      <c r="I29" s="46">
        <f>MAX('P317202504-SBV-ABR25 compensado'!I85,'P317202504-SBV-ABR25 compensado'!I29)</f>
        <v>446</v>
      </c>
      <c r="J29" s="46">
        <f>MAX('P317202504-SBV-ABR25 compensado'!J85,'P317202504-SBV-ABR25 compensado'!J29)</f>
        <v>376</v>
      </c>
      <c r="K29" s="46">
        <f>MAX('P317202504-SBV-ABR25 compensado'!K85,'P317202504-SBV-ABR25 compensado'!K29)</f>
        <v>0</v>
      </c>
      <c r="L29" s="45">
        <f>'P317202504-SBV-ABR25 compensado'!L85+'P317202504-SBV-ABR25 compensado'!L29</f>
        <v>0</v>
      </c>
    </row>
    <row r="30" spans="1:12" ht="121.5" thickBot="1">
      <c r="A30" s="52">
        <v>5</v>
      </c>
      <c r="B30" s="43" t="s">
        <v>36</v>
      </c>
      <c r="C30" s="44">
        <f>'P317202504-SBV-ABR25 compensado'!C86+'P317202504-SBV-ABR25 compensado'!C30</f>
        <v>891</v>
      </c>
      <c r="D30" s="44">
        <f>'P317202504-SBV-ABR25 compensado'!D86+'P317202504-SBV-ABR25 compensado'!D30</f>
        <v>56010</v>
      </c>
      <c r="E30" s="44">
        <f>'P317202504-SBV-ABR25 compensado'!E86+'P317202504-SBV-ABR25 compensado'!E30</f>
        <v>5930</v>
      </c>
      <c r="F30" s="44">
        <f>'P317202504-SBV-ABR25 compensado'!F86+'P317202504-SBV-ABR25 compensado'!F30</f>
        <v>0</v>
      </c>
      <c r="G30" s="45">
        <f>'P317202504-SBV-ABR25 compensado'!G86+'P317202504-SBV-ABR25 compensado'!G30</f>
        <v>62831</v>
      </c>
      <c r="H30" s="46">
        <f>MAX('P317202504-SBV-ABR25 compensado'!H86,'P317202504-SBV-ABR25 compensado'!H30)</f>
        <v>171</v>
      </c>
      <c r="I30" s="46">
        <f>MAX('P317202504-SBV-ABR25 compensado'!I86,'P317202504-SBV-ABR25 compensado'!I30)</f>
        <v>180</v>
      </c>
      <c r="J30" s="46">
        <f>MAX('P317202504-SBV-ABR25 compensado'!J86,'P317202504-SBV-ABR25 compensado'!J30)</f>
        <v>161</v>
      </c>
      <c r="K30" s="46">
        <f>MAX('P317202504-SBV-ABR25 compensado'!K86,'P317202504-SBV-ABR25 compensado'!K30)</f>
        <v>0</v>
      </c>
      <c r="L30" s="45">
        <f>'P317202504-SBV-ABR25 compensado'!L86+'P317202504-SBV-ABR25 compensado'!L30</f>
        <v>0</v>
      </c>
    </row>
    <row r="31" spans="1:12" ht="91.5" thickBot="1">
      <c r="A31" s="52">
        <v>6</v>
      </c>
      <c r="B31" s="43" t="s">
        <v>37</v>
      </c>
      <c r="C31" s="44">
        <f>'P317202504-SBV-ABR25 compensado'!C87+'P317202504-SBV-ABR25 compensado'!C31</f>
        <v>4847</v>
      </c>
      <c r="D31" s="44">
        <f>'P317202504-SBV-ABR25 compensado'!D87+'P317202504-SBV-ABR25 compensado'!D31</f>
        <v>42321</v>
      </c>
      <c r="E31" s="44">
        <f>'P317202504-SBV-ABR25 compensado'!E87+'P317202504-SBV-ABR25 compensado'!E31</f>
        <v>4104</v>
      </c>
      <c r="F31" s="44">
        <f>'P317202504-SBV-ABR25 compensado'!F87+'P317202504-SBV-ABR25 compensado'!F31</f>
        <v>0</v>
      </c>
      <c r="G31" s="45">
        <f>'P317202504-SBV-ABR25 compensado'!G87+'P317202504-SBV-ABR25 compensado'!G31</f>
        <v>51272</v>
      </c>
      <c r="H31" s="46">
        <f>MAX('P317202504-SBV-ABR25 compensado'!H87,'P317202504-SBV-ABR25 compensado'!H31)</f>
        <v>121</v>
      </c>
      <c r="I31" s="46">
        <f>MAX('P317202504-SBV-ABR25 compensado'!I87,'P317202504-SBV-ABR25 compensado'!I31)</f>
        <v>127</v>
      </c>
      <c r="J31" s="46">
        <f>MAX('P317202504-SBV-ABR25 compensado'!J87,'P317202504-SBV-ABR25 compensado'!J31)</f>
        <v>80</v>
      </c>
      <c r="K31" s="46">
        <f>MAX('P317202504-SBV-ABR25 compensado'!K87,'P317202504-SBV-ABR25 compensado'!K31)</f>
        <v>0</v>
      </c>
      <c r="L31" s="45">
        <f>'P317202504-SBV-ABR25 compensado'!L87+'P317202504-SBV-ABR25 compensado'!L31</f>
        <v>0</v>
      </c>
    </row>
    <row r="32" spans="1:12" ht="121.5" thickBot="1">
      <c r="A32" s="52">
        <v>7</v>
      </c>
      <c r="B32" s="43" t="s">
        <v>38</v>
      </c>
      <c r="C32" s="44">
        <f>'P317202504-SBV-ABR25 compensado'!C88+'P317202504-SBV-ABR25 compensado'!C32</f>
        <v>0</v>
      </c>
      <c r="D32" s="44">
        <f>'P317202504-SBV-ABR25 compensado'!D88+'P317202504-SBV-ABR25 compensado'!D32</f>
        <v>0</v>
      </c>
      <c r="E32" s="44">
        <f>'P317202504-SBV-ABR25 compensado'!E88+'P317202504-SBV-ABR25 compensado'!E32</f>
        <v>2140</v>
      </c>
      <c r="F32" s="44">
        <f>'P317202504-SBV-ABR25 compensado'!F88+'P317202504-SBV-ABR25 compensado'!F32</f>
        <v>0</v>
      </c>
      <c r="G32" s="45">
        <f>'P317202504-SBV-ABR25 compensado'!G88+'P317202504-SBV-ABR25 compensado'!G32</f>
        <v>2140</v>
      </c>
      <c r="H32" s="46">
        <f>MAX('P317202504-SBV-ABR25 compensado'!H88,'P317202504-SBV-ABR25 compensado'!H32)</f>
        <v>270</v>
      </c>
      <c r="I32" s="46">
        <f>MAX('P317202504-SBV-ABR25 compensado'!I88,'P317202504-SBV-ABR25 compensado'!I32)</f>
        <v>336</v>
      </c>
      <c r="J32" s="46">
        <f>MAX('P317202504-SBV-ABR25 compensado'!J88,'P317202504-SBV-ABR25 compensado'!J32)</f>
        <v>271</v>
      </c>
      <c r="K32" s="46">
        <f>MAX('P317202504-SBV-ABR25 compensado'!K88,'P317202504-SBV-ABR25 compensado'!K32)</f>
        <v>0</v>
      </c>
      <c r="L32" s="45">
        <f>'P317202504-SBV-ABR25 compensado'!L88+'P317202504-SBV-ABR25 compensado'!L32</f>
        <v>0</v>
      </c>
    </row>
    <row r="33" spans="1:12" ht="63.75" thickBot="1">
      <c r="A33" s="49"/>
      <c r="B33" s="50" t="s">
        <v>40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</row>
    <row r="34" spans="1:12" ht="91.5" thickBot="1">
      <c r="A34" s="52">
        <v>1</v>
      </c>
      <c r="B34" s="43" t="s">
        <v>32</v>
      </c>
      <c r="C34" s="44">
        <f>'P317202504-SBV-ABR25 compensado'!C90+'P317202504-SBV-ABR25 compensado'!C34</f>
        <v>13131</v>
      </c>
      <c r="D34" s="44">
        <f>'P317202504-SBV-ABR25 compensado'!D90+'P317202504-SBV-ABR25 compensado'!D34</f>
        <v>22273</v>
      </c>
      <c r="E34" s="44">
        <f>'P317202504-SBV-ABR25 compensado'!E90+'P317202504-SBV-ABR25 compensado'!E34</f>
        <v>1851</v>
      </c>
      <c r="F34" s="44">
        <f>'P317202504-SBV-ABR25 compensado'!F90+'P317202504-SBV-ABR25 compensado'!F34</f>
        <v>0</v>
      </c>
      <c r="G34" s="45">
        <f>'P317202504-SBV-ABR25 compensado'!G90+'P317202504-SBV-ABR25 compensado'!G34</f>
        <v>37254</v>
      </c>
      <c r="H34" s="46">
        <f>MAX('P317202504-SBV-ABR25 compensado'!H90,'P317202504-SBV-ABR25 compensado'!H34)</f>
        <v>107</v>
      </c>
      <c r="I34" s="46">
        <f>MAX('P317202504-SBV-ABR25 compensado'!I90,'P317202504-SBV-ABR25 compensado'!I34)</f>
        <v>107</v>
      </c>
      <c r="J34" s="46">
        <f>MAX('P317202504-SBV-ABR25 compensado'!J90,'P317202504-SBV-ABR25 compensado'!J34)</f>
        <v>107</v>
      </c>
      <c r="K34" s="46">
        <f>MAX('P317202504-SBV-ABR25 compensado'!K90,'P317202504-SBV-ABR25 compensado'!K34)</f>
        <v>0</v>
      </c>
      <c r="L34" s="45">
        <f>'P317202504-SBV-ABR25 compensado'!L90+'P317202504-SBV-ABR25 compensado'!L34</f>
        <v>0</v>
      </c>
    </row>
    <row r="35" spans="1:12" ht="121.5" thickBot="1">
      <c r="A35" s="52">
        <v>2</v>
      </c>
      <c r="B35" s="43" t="s">
        <v>33</v>
      </c>
      <c r="C35" s="44">
        <f>'P317202504-SBV-ABR25 compensado'!C91+'P317202504-SBV-ABR25 compensado'!C35</f>
        <v>12698</v>
      </c>
      <c r="D35" s="44">
        <f>'P317202504-SBV-ABR25 compensado'!D91+'P317202504-SBV-ABR25 compensado'!D35</f>
        <v>21932</v>
      </c>
      <c r="E35" s="44">
        <f>'P317202504-SBV-ABR25 compensado'!E91+'P317202504-SBV-ABR25 compensado'!E35</f>
        <v>1505</v>
      </c>
      <c r="F35" s="44">
        <f>'P317202504-SBV-ABR25 compensado'!F91+'P317202504-SBV-ABR25 compensado'!F35</f>
        <v>0</v>
      </c>
      <c r="G35" s="45">
        <f>'P317202504-SBV-ABR25 compensado'!G91+'P317202504-SBV-ABR25 compensado'!G35</f>
        <v>36135</v>
      </c>
      <c r="H35" s="46">
        <f>MAX('P317202504-SBV-ABR25 compensado'!H91,'P317202504-SBV-ABR25 compensado'!H35)</f>
        <v>178</v>
      </c>
      <c r="I35" s="46">
        <f>MAX('P317202504-SBV-ABR25 compensado'!I91,'P317202504-SBV-ABR25 compensado'!I35)</f>
        <v>178</v>
      </c>
      <c r="J35" s="46">
        <f>MAX('P317202504-SBV-ABR25 compensado'!J91,'P317202504-SBV-ABR25 compensado'!J35)</f>
        <v>108</v>
      </c>
      <c r="K35" s="46">
        <f>MAX('P317202504-SBV-ABR25 compensado'!K91,'P317202504-SBV-ABR25 compensado'!K35)</f>
        <v>0</v>
      </c>
      <c r="L35" s="45">
        <f>'P317202504-SBV-ABR25 compensado'!L91+'P317202504-SBV-ABR25 compensado'!L35</f>
        <v>0</v>
      </c>
    </row>
    <row r="36" spans="1:12" ht="121.5" thickBot="1">
      <c r="A36" s="52">
        <v>3</v>
      </c>
      <c r="B36" s="43" t="s">
        <v>34</v>
      </c>
      <c r="C36" s="44">
        <f>'P317202504-SBV-ABR25 compensado'!C92+'P317202504-SBV-ABR25 compensado'!C36</f>
        <v>13701</v>
      </c>
      <c r="D36" s="44">
        <f>'P317202504-SBV-ABR25 compensado'!D92+'P317202504-SBV-ABR25 compensado'!D36</f>
        <v>34148</v>
      </c>
      <c r="E36" s="44">
        <f>'P317202504-SBV-ABR25 compensado'!E92+'P317202504-SBV-ABR25 compensado'!E36</f>
        <v>2367</v>
      </c>
      <c r="F36" s="44">
        <f>'P317202504-SBV-ABR25 compensado'!F92+'P317202504-SBV-ABR25 compensado'!F36</f>
        <v>0</v>
      </c>
      <c r="G36" s="45">
        <f>'P317202504-SBV-ABR25 compensado'!G92+'P317202504-SBV-ABR25 compensado'!G36</f>
        <v>50215</v>
      </c>
      <c r="H36" s="46">
        <f>MAX('P317202504-SBV-ABR25 compensado'!H92,'P317202504-SBV-ABR25 compensado'!H36)</f>
        <v>238</v>
      </c>
      <c r="I36" s="46">
        <f>MAX('P317202504-SBV-ABR25 compensado'!I92,'P317202504-SBV-ABR25 compensado'!I36)</f>
        <v>238</v>
      </c>
      <c r="J36" s="46">
        <f>MAX('P317202504-SBV-ABR25 compensado'!J92,'P317202504-SBV-ABR25 compensado'!J36)</f>
        <v>238</v>
      </c>
      <c r="K36" s="46">
        <f>MAX('P317202504-SBV-ABR25 compensado'!K92,'P317202504-SBV-ABR25 compensado'!K36)</f>
        <v>0</v>
      </c>
      <c r="L36" s="45">
        <f>'P317202504-SBV-ABR25 compensado'!L92+'P317202504-SBV-ABR25 compensado'!L36</f>
        <v>0</v>
      </c>
    </row>
    <row r="37" spans="1:12" ht="121.5" thickBot="1">
      <c r="A37" s="52">
        <v>4</v>
      </c>
      <c r="B37" s="43" t="s">
        <v>35</v>
      </c>
      <c r="C37" s="44">
        <f>'P317202504-SBV-ABR25 compensado'!C93+'P317202504-SBV-ABR25 compensado'!C37</f>
        <v>11835</v>
      </c>
      <c r="D37" s="44">
        <f>'P317202504-SBV-ABR25 compensado'!D93+'P317202504-SBV-ABR25 compensado'!D37</f>
        <v>21503</v>
      </c>
      <c r="E37" s="44">
        <f>'P317202504-SBV-ABR25 compensado'!E93+'P317202504-SBV-ABR25 compensado'!E37</f>
        <v>2484</v>
      </c>
      <c r="F37" s="44">
        <f>'P317202504-SBV-ABR25 compensado'!F93+'P317202504-SBV-ABR25 compensado'!F37</f>
        <v>0</v>
      </c>
      <c r="G37" s="45">
        <f>'P317202504-SBV-ABR25 compensado'!G93+'P317202504-SBV-ABR25 compensado'!G37</f>
        <v>35822</v>
      </c>
      <c r="H37" s="46">
        <f>MAX('P317202504-SBV-ABR25 compensado'!H93,'P317202504-SBV-ABR25 compensado'!H37)</f>
        <v>168</v>
      </c>
      <c r="I37" s="46">
        <f>MAX('P317202504-SBV-ABR25 compensado'!I93,'P317202504-SBV-ABR25 compensado'!I37)</f>
        <v>168</v>
      </c>
      <c r="J37" s="46">
        <f>MAX('P317202504-SBV-ABR25 compensado'!J93,'P317202504-SBV-ABR25 compensado'!J37)</f>
        <v>168</v>
      </c>
      <c r="K37" s="46">
        <f>MAX('P317202504-SBV-ABR25 compensado'!K93,'P317202504-SBV-ABR25 compensado'!K37)</f>
        <v>0</v>
      </c>
      <c r="L37" s="45">
        <f>'P317202504-SBV-ABR25 compensado'!L93+'P317202504-SBV-ABR25 compensado'!L37</f>
        <v>0</v>
      </c>
    </row>
    <row r="38" spans="1:12" ht="121.5" thickBot="1">
      <c r="A38" s="52">
        <v>5</v>
      </c>
      <c r="B38" s="43" t="s">
        <v>36</v>
      </c>
      <c r="C38" s="44">
        <f>'P317202504-SBV-ABR25 compensado'!C94+'P317202504-SBV-ABR25 compensado'!C38</f>
        <v>21770</v>
      </c>
      <c r="D38" s="44">
        <f>'P317202504-SBV-ABR25 compensado'!D94+'P317202504-SBV-ABR25 compensado'!D38</f>
        <v>14250</v>
      </c>
      <c r="E38" s="44">
        <f>'P317202504-SBV-ABR25 compensado'!E94+'P317202504-SBV-ABR25 compensado'!E38</f>
        <v>2828</v>
      </c>
      <c r="F38" s="44">
        <f>'P317202504-SBV-ABR25 compensado'!F94+'P317202504-SBV-ABR25 compensado'!F38</f>
        <v>0</v>
      </c>
      <c r="G38" s="45">
        <f>'P317202504-SBV-ABR25 compensado'!G94+'P317202504-SBV-ABR25 compensado'!G38</f>
        <v>38847</v>
      </c>
      <c r="H38" s="46">
        <f>MAX('P317202504-SBV-ABR25 compensado'!H94,'P317202504-SBV-ABR25 compensado'!H38)</f>
        <v>169</v>
      </c>
      <c r="I38" s="46">
        <f>MAX('P317202504-SBV-ABR25 compensado'!I94,'P317202504-SBV-ABR25 compensado'!I38)</f>
        <v>169</v>
      </c>
      <c r="J38" s="46">
        <f>MAX('P317202504-SBV-ABR25 compensado'!J94,'P317202504-SBV-ABR25 compensado'!J38)</f>
        <v>169</v>
      </c>
      <c r="K38" s="46">
        <f>MAX('P317202504-SBV-ABR25 compensado'!K94,'P317202504-SBV-ABR25 compensado'!K38)</f>
        <v>0</v>
      </c>
      <c r="L38" s="45">
        <f>'P317202504-SBV-ABR25 compensado'!L94+'P317202504-SBV-ABR25 compensado'!L38</f>
        <v>0</v>
      </c>
    </row>
    <row r="39" spans="1:12" ht="91.5" thickBot="1">
      <c r="A39" s="52">
        <v>6</v>
      </c>
      <c r="B39" s="43" t="s">
        <v>37</v>
      </c>
      <c r="C39" s="44">
        <f>'P317202504-SBV-ABR25 compensado'!C95+'P317202504-SBV-ABR25 compensado'!C39</f>
        <v>12692</v>
      </c>
      <c r="D39" s="44">
        <f>'P317202504-SBV-ABR25 compensado'!D95+'P317202504-SBV-ABR25 compensado'!D39</f>
        <v>5331</v>
      </c>
      <c r="E39" s="44">
        <f>'P317202504-SBV-ABR25 compensado'!E95+'P317202504-SBV-ABR25 compensado'!E39</f>
        <v>932</v>
      </c>
      <c r="F39" s="44">
        <f>'P317202504-SBV-ABR25 compensado'!F95+'P317202504-SBV-ABR25 compensado'!F39</f>
        <v>0</v>
      </c>
      <c r="G39" s="45">
        <f>'P317202504-SBV-ABR25 compensado'!G95+'P317202504-SBV-ABR25 compensado'!G39</f>
        <v>18955</v>
      </c>
      <c r="H39" s="46">
        <f>MAX('P317202504-SBV-ABR25 compensado'!H95,'P317202504-SBV-ABR25 compensado'!H39)</f>
        <v>57</v>
      </c>
      <c r="I39" s="46">
        <f>MAX('P317202504-SBV-ABR25 compensado'!I95,'P317202504-SBV-ABR25 compensado'!I39)</f>
        <v>57</v>
      </c>
      <c r="J39" s="46">
        <f>MAX('P317202504-SBV-ABR25 compensado'!J95,'P317202504-SBV-ABR25 compensado'!J39)</f>
        <v>57</v>
      </c>
      <c r="K39" s="46">
        <f>MAX('P317202504-SBV-ABR25 compensado'!K95,'P317202504-SBV-ABR25 compensado'!K39)</f>
        <v>0</v>
      </c>
      <c r="L39" s="45">
        <f>'P317202504-SBV-ABR25 compensado'!L95+'P317202504-SBV-ABR25 compensado'!L39</f>
        <v>0</v>
      </c>
    </row>
    <row r="40" spans="1:12" ht="121.5" thickBot="1">
      <c r="A40" s="52">
        <v>7</v>
      </c>
      <c r="B40" s="43" t="s">
        <v>38</v>
      </c>
      <c r="C40" s="44">
        <f>'P317202504-SBV-ABR25 compensado'!C96+'P317202504-SBV-ABR25 compensado'!C40</f>
        <v>8439</v>
      </c>
      <c r="D40" s="44">
        <f>'P317202504-SBV-ABR25 compensado'!D96+'P317202504-SBV-ABR25 compensado'!D40</f>
        <v>36754</v>
      </c>
      <c r="E40" s="44">
        <f>'P317202504-SBV-ABR25 compensado'!E96+'P317202504-SBV-ABR25 compensado'!E40</f>
        <v>3957</v>
      </c>
      <c r="F40" s="44">
        <f>'P317202504-SBV-ABR25 compensado'!F96+'P317202504-SBV-ABR25 compensado'!F40</f>
        <v>0</v>
      </c>
      <c r="G40" s="45">
        <f>'P317202504-SBV-ABR25 compensado'!G96+'P317202504-SBV-ABR25 compensado'!G40</f>
        <v>49151</v>
      </c>
      <c r="H40" s="46">
        <f>MAX('P317202504-SBV-ABR25 compensado'!H96,'P317202504-SBV-ABR25 compensado'!H40)</f>
        <v>0</v>
      </c>
      <c r="I40" s="46">
        <f>MAX('P317202504-SBV-ABR25 compensado'!I96,'P317202504-SBV-ABR25 compensado'!I40)</f>
        <v>0</v>
      </c>
      <c r="J40" s="46">
        <f>MAX('P317202504-SBV-ABR25 compensado'!J96,'P317202504-SBV-ABR25 compensado'!J40)</f>
        <v>0</v>
      </c>
      <c r="K40" s="46">
        <f>MAX('P317202504-SBV-ABR25 compensado'!K96,'P317202504-SBV-ABR25 compensado'!K40)</f>
        <v>0</v>
      </c>
      <c r="L40" s="45">
        <f>'P317202504-SBV-ABR25 compensado'!L96+'P317202504-SBV-ABR25 compensado'!L40</f>
        <v>0</v>
      </c>
    </row>
    <row r="41" spans="1:12" ht="95.25" thickBot="1">
      <c r="A41" s="49"/>
      <c r="B41" s="50" t="s">
        <v>41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</row>
    <row r="42" spans="1:12" ht="91.5" thickBot="1">
      <c r="A42" s="52">
        <v>1</v>
      </c>
      <c r="B42" s="43" t="s">
        <v>32</v>
      </c>
      <c r="C42" s="44">
        <f>'P317202504-SBV-ABR25 compensado'!C98+'P317202504-SBV-ABR25 compensado'!C42</f>
        <v>0</v>
      </c>
      <c r="D42" s="44">
        <f>'P317202504-SBV-ABR25 compensado'!D98+'P317202504-SBV-ABR25 compensado'!D42</f>
        <v>12815</v>
      </c>
      <c r="E42" s="44">
        <f>'P317202504-SBV-ABR25 compensado'!E98+'P317202504-SBV-ABR25 compensado'!E42</f>
        <v>2705</v>
      </c>
      <c r="F42" s="44">
        <f>'P317202504-SBV-ABR25 compensado'!F98+'P317202504-SBV-ABR25 compensado'!F42</f>
        <v>0</v>
      </c>
      <c r="G42" s="45">
        <f>'P317202504-SBV-ABR25 compensado'!G98+'P317202504-SBV-ABR25 compensado'!G42</f>
        <v>15521</v>
      </c>
      <c r="H42" s="46">
        <f>MAX('P317202504-SBV-ABR25 compensado'!H98,'P317202504-SBV-ABR25 compensado'!H42)</f>
        <v>107</v>
      </c>
      <c r="I42" s="46">
        <f>MAX('P317202504-SBV-ABR25 compensado'!I98,'P317202504-SBV-ABR25 compensado'!I42)</f>
        <v>107</v>
      </c>
      <c r="J42" s="46">
        <f>MAX('P317202504-SBV-ABR25 compensado'!J98,'P317202504-SBV-ABR25 compensado'!J42)</f>
        <v>107</v>
      </c>
      <c r="K42" s="46">
        <f>MAX('P317202504-SBV-ABR25 compensado'!K98,'P317202504-SBV-ABR25 compensado'!K42)</f>
        <v>0</v>
      </c>
      <c r="L42" s="45">
        <f>'P317202504-SBV-ABR25 compensado'!L98+'P317202504-SBV-ABR25 compensado'!L42</f>
        <v>0</v>
      </c>
    </row>
    <row r="43" spans="1:12" ht="121.5" thickBot="1">
      <c r="A43" s="52">
        <v>2</v>
      </c>
      <c r="B43" s="43" t="s">
        <v>33</v>
      </c>
      <c r="C43" s="44">
        <f>'P317202504-SBV-ABR25 compensado'!C99+'P317202504-SBV-ABR25 compensado'!C43</f>
        <v>0</v>
      </c>
      <c r="D43" s="44">
        <f>'P317202504-SBV-ABR25 compensado'!D99+'P317202504-SBV-ABR25 compensado'!D43</f>
        <v>21967</v>
      </c>
      <c r="E43" s="44">
        <f>'P317202504-SBV-ABR25 compensado'!E99+'P317202504-SBV-ABR25 compensado'!E43</f>
        <v>2653</v>
      </c>
      <c r="F43" s="44">
        <f>'P317202504-SBV-ABR25 compensado'!F99+'P317202504-SBV-ABR25 compensado'!F43</f>
        <v>0</v>
      </c>
      <c r="G43" s="45">
        <f>'P317202504-SBV-ABR25 compensado'!G99+'P317202504-SBV-ABR25 compensado'!G43</f>
        <v>24620</v>
      </c>
      <c r="H43" s="46">
        <f>MAX('P317202504-SBV-ABR25 compensado'!H99,'P317202504-SBV-ABR25 compensado'!H43)</f>
        <v>178</v>
      </c>
      <c r="I43" s="46">
        <f>MAX('P317202504-SBV-ABR25 compensado'!I99,'P317202504-SBV-ABR25 compensado'!I43)</f>
        <v>178</v>
      </c>
      <c r="J43" s="46">
        <f>MAX('P317202504-SBV-ABR25 compensado'!J99,'P317202504-SBV-ABR25 compensado'!J43)</f>
        <v>156</v>
      </c>
      <c r="K43" s="46">
        <f>MAX('P317202504-SBV-ABR25 compensado'!K99,'P317202504-SBV-ABR25 compensado'!K43)</f>
        <v>0</v>
      </c>
      <c r="L43" s="45">
        <f>'P317202504-SBV-ABR25 compensado'!L99+'P317202504-SBV-ABR25 compensado'!L43</f>
        <v>0</v>
      </c>
    </row>
    <row r="44" spans="1:12" ht="121.5" thickBot="1">
      <c r="A44" s="52">
        <v>3</v>
      </c>
      <c r="B44" s="43" t="s">
        <v>34</v>
      </c>
      <c r="C44" s="44">
        <f>'P317202504-SBV-ABR25 compensado'!C100+'P317202504-SBV-ABR25 compensado'!C44</f>
        <v>0</v>
      </c>
      <c r="D44" s="44">
        <f>'P317202504-SBV-ABR25 compensado'!D100+'P317202504-SBV-ABR25 compensado'!D44</f>
        <v>36307</v>
      </c>
      <c r="E44" s="44">
        <f>'P317202504-SBV-ABR25 compensado'!E100+'P317202504-SBV-ABR25 compensado'!E44</f>
        <v>4879</v>
      </c>
      <c r="F44" s="44">
        <f>'P317202504-SBV-ABR25 compensado'!F100+'P317202504-SBV-ABR25 compensado'!F44</f>
        <v>0</v>
      </c>
      <c r="G44" s="45">
        <f>'P317202504-SBV-ABR25 compensado'!G100+'P317202504-SBV-ABR25 compensado'!G44</f>
        <v>41186</v>
      </c>
      <c r="H44" s="46">
        <f>MAX('P317202504-SBV-ABR25 compensado'!H100,'P317202504-SBV-ABR25 compensado'!H44)</f>
        <v>238</v>
      </c>
      <c r="I44" s="46">
        <f>MAX('P317202504-SBV-ABR25 compensado'!I100,'P317202504-SBV-ABR25 compensado'!I44)</f>
        <v>238</v>
      </c>
      <c r="J44" s="46">
        <f>MAX('P317202504-SBV-ABR25 compensado'!J100,'P317202504-SBV-ABR25 compensado'!J44)</f>
        <v>238</v>
      </c>
      <c r="K44" s="46">
        <f>MAX('P317202504-SBV-ABR25 compensado'!K100,'P317202504-SBV-ABR25 compensado'!K44)</f>
        <v>0</v>
      </c>
      <c r="L44" s="45">
        <f>'P317202504-SBV-ABR25 compensado'!L100+'P317202504-SBV-ABR25 compensado'!L44</f>
        <v>0</v>
      </c>
    </row>
    <row r="45" spans="1:12" ht="121.5" thickBot="1">
      <c r="A45" s="52">
        <v>4</v>
      </c>
      <c r="B45" s="43" t="s">
        <v>35</v>
      </c>
      <c r="C45" s="44">
        <f>'P317202504-SBV-ABR25 compensado'!C101+'P317202504-SBV-ABR25 compensado'!C45</f>
        <v>0</v>
      </c>
      <c r="D45" s="44">
        <f>'P317202504-SBV-ABR25 compensado'!D101+'P317202504-SBV-ABR25 compensado'!D45</f>
        <v>26846</v>
      </c>
      <c r="E45" s="44">
        <f>'P317202504-SBV-ABR25 compensado'!E101+'P317202504-SBV-ABR25 compensado'!E45</f>
        <v>4726</v>
      </c>
      <c r="F45" s="44">
        <f>'P317202504-SBV-ABR25 compensado'!F101+'P317202504-SBV-ABR25 compensado'!F45</f>
        <v>0</v>
      </c>
      <c r="G45" s="45">
        <f>'P317202504-SBV-ABR25 compensado'!G101+'P317202504-SBV-ABR25 compensado'!G45</f>
        <v>31572</v>
      </c>
      <c r="H45" s="46">
        <f>MAX('P317202504-SBV-ABR25 compensado'!H101,'P317202504-SBV-ABR25 compensado'!H45)</f>
        <v>168</v>
      </c>
      <c r="I45" s="46">
        <f>MAX('P317202504-SBV-ABR25 compensado'!I101,'P317202504-SBV-ABR25 compensado'!I45)</f>
        <v>168</v>
      </c>
      <c r="J45" s="46">
        <f>MAX('P317202504-SBV-ABR25 compensado'!J101,'P317202504-SBV-ABR25 compensado'!J45)</f>
        <v>168</v>
      </c>
      <c r="K45" s="46">
        <f>MAX('P317202504-SBV-ABR25 compensado'!K101,'P317202504-SBV-ABR25 compensado'!K45)</f>
        <v>0</v>
      </c>
      <c r="L45" s="45">
        <f>'P317202504-SBV-ABR25 compensado'!L101+'P317202504-SBV-ABR25 compensado'!L45</f>
        <v>0</v>
      </c>
    </row>
    <row r="46" spans="1:12" ht="121.5" thickBot="1">
      <c r="A46" s="52">
        <v>5</v>
      </c>
      <c r="B46" s="43" t="s">
        <v>36</v>
      </c>
      <c r="C46" s="44">
        <f>'P317202504-SBV-ABR25 compensado'!C102+'P317202504-SBV-ABR25 compensado'!C46</f>
        <v>0</v>
      </c>
      <c r="D46" s="44">
        <f>'P317202504-SBV-ABR25 compensado'!D102+'P317202504-SBV-ABR25 compensado'!D46</f>
        <v>49434</v>
      </c>
      <c r="E46" s="44">
        <f>'P317202504-SBV-ABR25 compensado'!E102+'P317202504-SBV-ABR25 compensado'!E46</f>
        <v>5383</v>
      </c>
      <c r="F46" s="44">
        <f>'P317202504-SBV-ABR25 compensado'!F102+'P317202504-SBV-ABR25 compensado'!F46</f>
        <v>0</v>
      </c>
      <c r="G46" s="45">
        <f>'P317202504-SBV-ABR25 compensado'!G102+'P317202504-SBV-ABR25 compensado'!G46</f>
        <v>54816</v>
      </c>
      <c r="H46" s="46">
        <f>MAX('P317202504-SBV-ABR25 compensado'!H102,'P317202504-SBV-ABR25 compensado'!H46)</f>
        <v>169</v>
      </c>
      <c r="I46" s="46">
        <f>MAX('P317202504-SBV-ABR25 compensado'!I102,'P317202504-SBV-ABR25 compensado'!I46)</f>
        <v>169</v>
      </c>
      <c r="J46" s="46">
        <f>MAX('P317202504-SBV-ABR25 compensado'!J102,'P317202504-SBV-ABR25 compensado'!J46)</f>
        <v>169</v>
      </c>
      <c r="K46" s="46">
        <f>MAX('P317202504-SBV-ABR25 compensado'!K102,'P317202504-SBV-ABR25 compensado'!K46)</f>
        <v>0</v>
      </c>
      <c r="L46" s="45">
        <f>'P317202504-SBV-ABR25 compensado'!L102+'P317202504-SBV-ABR25 compensado'!L46</f>
        <v>0</v>
      </c>
    </row>
    <row r="47" spans="1:12" ht="91.5" thickBot="1">
      <c r="A47" s="52">
        <v>6</v>
      </c>
      <c r="B47" s="43" t="s">
        <v>37</v>
      </c>
      <c r="C47" s="44">
        <f>'P317202504-SBV-ABR25 compensado'!C103+'P317202504-SBV-ABR25 compensado'!C47</f>
        <v>0</v>
      </c>
      <c r="D47" s="44">
        <f>'P317202504-SBV-ABR25 compensado'!D103+'P317202504-SBV-ABR25 compensado'!D47</f>
        <v>18988</v>
      </c>
      <c r="E47" s="44">
        <f>'P317202504-SBV-ABR25 compensado'!E103+'P317202504-SBV-ABR25 compensado'!E47</f>
        <v>2144</v>
      </c>
      <c r="F47" s="44">
        <f>'P317202504-SBV-ABR25 compensado'!F103+'P317202504-SBV-ABR25 compensado'!F47</f>
        <v>0</v>
      </c>
      <c r="G47" s="45">
        <f>'P317202504-SBV-ABR25 compensado'!G103+'P317202504-SBV-ABR25 compensado'!G47</f>
        <v>21132</v>
      </c>
      <c r="H47" s="46">
        <f>MAX('P317202504-SBV-ABR25 compensado'!H103,'P317202504-SBV-ABR25 compensado'!H47)</f>
        <v>57</v>
      </c>
      <c r="I47" s="46">
        <f>MAX('P317202504-SBV-ABR25 compensado'!I103,'P317202504-SBV-ABR25 compensado'!I47)</f>
        <v>57</v>
      </c>
      <c r="J47" s="46">
        <f>MAX('P317202504-SBV-ABR25 compensado'!J103,'P317202504-SBV-ABR25 compensado'!J47)</f>
        <v>57</v>
      </c>
      <c r="K47" s="46">
        <f>MAX('P317202504-SBV-ABR25 compensado'!K103,'P317202504-SBV-ABR25 compensado'!K47)</f>
        <v>0</v>
      </c>
      <c r="L47" s="45">
        <f>'P317202504-SBV-ABR25 compensado'!L103+'P317202504-SBV-ABR25 compensado'!L47</f>
        <v>0</v>
      </c>
    </row>
    <row r="48" spans="1:12" ht="121.5" thickBot="1">
      <c r="A48" s="52">
        <v>7</v>
      </c>
      <c r="B48" s="43" t="s">
        <v>38</v>
      </c>
      <c r="C48" s="44">
        <f>'P317202504-SBV-ABR25 compensado'!C104+'P317202504-SBV-ABR25 compensado'!C48</f>
        <v>0</v>
      </c>
      <c r="D48" s="44">
        <f>'P317202504-SBV-ABR25 compensado'!D104+'P317202504-SBV-ABR25 compensado'!D48</f>
        <v>0</v>
      </c>
      <c r="E48" s="44">
        <f>'P317202504-SBV-ABR25 compensado'!E104+'P317202504-SBV-ABR25 compensado'!E48</f>
        <v>2140</v>
      </c>
      <c r="F48" s="44">
        <f>'P317202504-SBV-ABR25 compensado'!F104+'P317202504-SBV-ABR25 compensado'!F48</f>
        <v>0</v>
      </c>
      <c r="G48" s="45">
        <f>'P317202504-SBV-ABR25 compensado'!G104+'P317202504-SBV-ABR25 compensado'!G48</f>
        <v>2140</v>
      </c>
      <c r="H48" s="46">
        <f>MAX('P317202504-SBV-ABR25 compensado'!H104,'P317202504-SBV-ABR25 compensado'!H48)</f>
        <v>270</v>
      </c>
      <c r="I48" s="46">
        <f>MAX('P317202504-SBV-ABR25 compensado'!I104,'P317202504-SBV-ABR25 compensado'!I48)</f>
        <v>336</v>
      </c>
      <c r="J48" s="46">
        <f>MAX('P317202504-SBV-ABR25 compensado'!J104,'P317202504-SBV-ABR25 compensado'!J48)</f>
        <v>271</v>
      </c>
      <c r="K48" s="46">
        <f>MAX('P317202504-SBV-ABR25 compensado'!K104,'P317202504-SBV-ABR25 compensado'!K48)</f>
        <v>0</v>
      </c>
      <c r="L48" s="45">
        <f>'P317202504-SBV-ABR25 compensado'!L104+'P317202504-SBV-ABR25 compensado'!L48</f>
        <v>0</v>
      </c>
    </row>
    <row r="49" spans="1:12" ht="48" thickBot="1">
      <c r="A49" s="49"/>
      <c r="B49" s="50" t="s">
        <v>42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</row>
    <row r="50" spans="1:12" ht="91.5" thickBot="1">
      <c r="A50" s="52">
        <v>1</v>
      </c>
      <c r="B50" s="43" t="s">
        <v>32</v>
      </c>
      <c r="C50" s="44">
        <f>'P317202504-SBV-ABR25 compensado'!C106+'P317202504-SBV-ABR25 compensado'!C50</f>
        <v>0</v>
      </c>
      <c r="D50" s="44">
        <f>'P317202504-SBV-ABR25 compensado'!D106+'P317202504-SBV-ABR25 compensado'!D50</f>
        <v>0</v>
      </c>
      <c r="E50" s="44">
        <f>'P317202504-SBV-ABR25 compensado'!E106+'P317202504-SBV-ABR25 compensado'!E50</f>
        <v>0</v>
      </c>
      <c r="F50" s="44">
        <f>'P317202504-SBV-ABR25 compensado'!F106+'P317202504-SBV-ABR25 compensado'!F50</f>
        <v>0</v>
      </c>
      <c r="G50" s="45">
        <f>'P317202504-SBV-ABR25 compensado'!G106+'P317202504-SBV-ABR25 compensado'!G50</f>
        <v>0</v>
      </c>
      <c r="H50" s="46">
        <f>MAX('P317202504-SBV-ABR25 compensado'!H106,'P317202504-SBV-ABR25 compensado'!H50)</f>
        <v>0</v>
      </c>
      <c r="I50" s="46">
        <f>MAX('P317202504-SBV-ABR25 compensado'!I106,'P317202504-SBV-ABR25 compensado'!I50)</f>
        <v>0</v>
      </c>
      <c r="J50" s="46">
        <f>MAX('P317202504-SBV-ABR25 compensado'!J106,'P317202504-SBV-ABR25 compensado'!J50)</f>
        <v>0</v>
      </c>
      <c r="K50" s="46">
        <f>MAX('P317202504-SBV-ABR25 compensado'!K106,'P317202504-SBV-ABR25 compensado'!K50)</f>
        <v>0</v>
      </c>
      <c r="L50" s="45">
        <f>'P317202504-SBV-ABR25 compensado'!L106+'P317202504-SBV-ABR25 compensado'!L50</f>
        <v>0</v>
      </c>
    </row>
    <row r="51" spans="1:12" ht="121.5" thickBot="1">
      <c r="A51" s="52">
        <v>2</v>
      </c>
      <c r="B51" s="43" t="s">
        <v>33</v>
      </c>
      <c r="C51" s="44">
        <f>'P317202504-SBV-ABR25 compensado'!C107+'P317202504-SBV-ABR25 compensado'!C51</f>
        <v>0</v>
      </c>
      <c r="D51" s="44">
        <f>'P317202504-SBV-ABR25 compensado'!D107+'P317202504-SBV-ABR25 compensado'!D51</f>
        <v>0</v>
      </c>
      <c r="E51" s="44">
        <f>'P317202504-SBV-ABR25 compensado'!E107+'P317202504-SBV-ABR25 compensado'!E51</f>
        <v>0</v>
      </c>
      <c r="F51" s="44">
        <f>'P317202504-SBV-ABR25 compensado'!F107+'P317202504-SBV-ABR25 compensado'!F51</f>
        <v>0</v>
      </c>
      <c r="G51" s="45">
        <f>'P317202504-SBV-ABR25 compensado'!G107+'P317202504-SBV-ABR25 compensado'!G51</f>
        <v>0</v>
      </c>
      <c r="H51" s="46">
        <f>MAX('P317202504-SBV-ABR25 compensado'!H107,'P317202504-SBV-ABR25 compensado'!H51)</f>
        <v>0</v>
      </c>
      <c r="I51" s="46">
        <f>MAX('P317202504-SBV-ABR25 compensado'!I107,'P317202504-SBV-ABR25 compensado'!I51)</f>
        <v>0</v>
      </c>
      <c r="J51" s="46">
        <f>MAX('P317202504-SBV-ABR25 compensado'!J107,'P317202504-SBV-ABR25 compensado'!J51)</f>
        <v>0</v>
      </c>
      <c r="K51" s="46">
        <f>MAX('P317202504-SBV-ABR25 compensado'!K107,'P317202504-SBV-ABR25 compensado'!K51)</f>
        <v>0</v>
      </c>
      <c r="L51" s="45">
        <f>'P317202504-SBV-ABR25 compensado'!L107+'P317202504-SBV-ABR25 compensado'!L51</f>
        <v>0</v>
      </c>
    </row>
    <row r="52" spans="1:12" ht="121.5" thickBot="1">
      <c r="A52" s="52">
        <v>3</v>
      </c>
      <c r="B52" s="43" t="s">
        <v>34</v>
      </c>
      <c r="C52" s="44">
        <f>'P317202504-SBV-ABR25 compensado'!C108+'P317202504-SBV-ABR25 compensado'!C52</f>
        <v>0</v>
      </c>
      <c r="D52" s="44">
        <f>'P317202504-SBV-ABR25 compensado'!D108+'P317202504-SBV-ABR25 compensado'!D52</f>
        <v>0</v>
      </c>
      <c r="E52" s="44">
        <f>'P317202504-SBV-ABR25 compensado'!E108+'P317202504-SBV-ABR25 compensado'!E52</f>
        <v>0</v>
      </c>
      <c r="F52" s="44">
        <f>'P317202504-SBV-ABR25 compensado'!F108+'P317202504-SBV-ABR25 compensado'!F52</f>
        <v>0</v>
      </c>
      <c r="G52" s="45">
        <f>'P317202504-SBV-ABR25 compensado'!G108+'P317202504-SBV-ABR25 compensado'!G52</f>
        <v>0</v>
      </c>
      <c r="H52" s="46">
        <f>MAX('P317202504-SBV-ABR25 compensado'!H108,'P317202504-SBV-ABR25 compensado'!H52)</f>
        <v>0</v>
      </c>
      <c r="I52" s="46">
        <f>MAX('P317202504-SBV-ABR25 compensado'!I108,'P317202504-SBV-ABR25 compensado'!I52)</f>
        <v>0</v>
      </c>
      <c r="J52" s="46">
        <f>MAX('P317202504-SBV-ABR25 compensado'!J108,'P317202504-SBV-ABR25 compensado'!J52)</f>
        <v>0</v>
      </c>
      <c r="K52" s="46">
        <f>MAX('P317202504-SBV-ABR25 compensado'!K108,'P317202504-SBV-ABR25 compensado'!K52)</f>
        <v>0</v>
      </c>
      <c r="L52" s="45">
        <f>'P317202504-SBV-ABR25 compensado'!L108+'P317202504-SBV-ABR25 compensado'!L52</f>
        <v>0</v>
      </c>
    </row>
    <row r="53" spans="1:12" ht="121.5" thickBot="1">
      <c r="A53" s="52">
        <v>4</v>
      </c>
      <c r="B53" s="43" t="s">
        <v>35</v>
      </c>
      <c r="C53" s="44">
        <f>'P317202504-SBV-ABR25 compensado'!C109+'P317202504-SBV-ABR25 compensado'!C53</f>
        <v>0</v>
      </c>
      <c r="D53" s="44">
        <f>'P317202504-SBV-ABR25 compensado'!D109+'P317202504-SBV-ABR25 compensado'!D53</f>
        <v>0</v>
      </c>
      <c r="E53" s="44">
        <f>'P317202504-SBV-ABR25 compensado'!E109+'P317202504-SBV-ABR25 compensado'!E53</f>
        <v>0</v>
      </c>
      <c r="F53" s="44">
        <f>'P317202504-SBV-ABR25 compensado'!F109+'P317202504-SBV-ABR25 compensado'!F53</f>
        <v>0</v>
      </c>
      <c r="G53" s="45">
        <f>'P317202504-SBV-ABR25 compensado'!G109+'P317202504-SBV-ABR25 compensado'!G53</f>
        <v>0</v>
      </c>
      <c r="H53" s="46">
        <f>MAX('P317202504-SBV-ABR25 compensado'!H109,'P317202504-SBV-ABR25 compensado'!H53)</f>
        <v>0</v>
      </c>
      <c r="I53" s="46">
        <f>MAX('P317202504-SBV-ABR25 compensado'!I109,'P317202504-SBV-ABR25 compensado'!I53)</f>
        <v>0</v>
      </c>
      <c r="J53" s="46">
        <f>MAX('P317202504-SBV-ABR25 compensado'!J109,'P317202504-SBV-ABR25 compensado'!J53)</f>
        <v>0</v>
      </c>
      <c r="K53" s="46">
        <f>MAX('P317202504-SBV-ABR25 compensado'!K109,'P317202504-SBV-ABR25 compensado'!K53)</f>
        <v>0</v>
      </c>
      <c r="L53" s="45">
        <f>'P317202504-SBV-ABR25 compensado'!L109+'P317202504-SBV-ABR25 compensado'!L53</f>
        <v>0</v>
      </c>
    </row>
    <row r="54" spans="1:12" ht="121.5" thickBot="1">
      <c r="A54" s="52">
        <v>5</v>
      </c>
      <c r="B54" s="43" t="s">
        <v>36</v>
      </c>
      <c r="C54" s="44">
        <f>'P317202504-SBV-ABR25 compensado'!C110+'P317202504-SBV-ABR25 compensado'!C54</f>
        <v>0</v>
      </c>
      <c r="D54" s="44">
        <f>'P317202504-SBV-ABR25 compensado'!D110+'P317202504-SBV-ABR25 compensado'!D54</f>
        <v>0</v>
      </c>
      <c r="E54" s="44">
        <f>'P317202504-SBV-ABR25 compensado'!E110+'P317202504-SBV-ABR25 compensado'!E54</f>
        <v>0</v>
      </c>
      <c r="F54" s="44">
        <f>'P317202504-SBV-ABR25 compensado'!F110+'P317202504-SBV-ABR25 compensado'!F54</f>
        <v>0</v>
      </c>
      <c r="G54" s="45">
        <f>'P317202504-SBV-ABR25 compensado'!G110+'P317202504-SBV-ABR25 compensado'!G54</f>
        <v>0</v>
      </c>
      <c r="H54" s="46">
        <f>MAX('P317202504-SBV-ABR25 compensado'!H110,'P317202504-SBV-ABR25 compensado'!H54)</f>
        <v>0</v>
      </c>
      <c r="I54" s="46">
        <f>MAX('P317202504-SBV-ABR25 compensado'!I110,'P317202504-SBV-ABR25 compensado'!I54)</f>
        <v>0</v>
      </c>
      <c r="J54" s="46">
        <f>MAX('P317202504-SBV-ABR25 compensado'!J110,'P317202504-SBV-ABR25 compensado'!J54)</f>
        <v>0</v>
      </c>
      <c r="K54" s="46">
        <f>MAX('P317202504-SBV-ABR25 compensado'!K110,'P317202504-SBV-ABR25 compensado'!K54)</f>
        <v>0</v>
      </c>
      <c r="L54" s="45">
        <f>'P317202504-SBV-ABR25 compensado'!L110+'P317202504-SBV-ABR25 compensado'!L54</f>
        <v>0</v>
      </c>
    </row>
    <row r="55" spans="1:12" ht="91.5" thickBot="1">
      <c r="A55" s="52">
        <v>6</v>
      </c>
      <c r="B55" s="43" t="s">
        <v>37</v>
      </c>
      <c r="C55" s="44">
        <f>'P317202504-SBV-ABR25 compensado'!C111+'P317202504-SBV-ABR25 compensado'!C55</f>
        <v>0</v>
      </c>
      <c r="D55" s="44">
        <f>'P317202504-SBV-ABR25 compensado'!D111+'P317202504-SBV-ABR25 compensado'!D55</f>
        <v>0</v>
      </c>
      <c r="E55" s="44">
        <f>'P317202504-SBV-ABR25 compensado'!E111+'P317202504-SBV-ABR25 compensado'!E55</f>
        <v>0</v>
      </c>
      <c r="F55" s="44">
        <f>'P317202504-SBV-ABR25 compensado'!F111+'P317202504-SBV-ABR25 compensado'!F55</f>
        <v>0</v>
      </c>
      <c r="G55" s="45">
        <f>'P317202504-SBV-ABR25 compensado'!G111+'P317202504-SBV-ABR25 compensado'!G55</f>
        <v>0</v>
      </c>
      <c r="H55" s="46">
        <f>MAX('P317202504-SBV-ABR25 compensado'!H111,'P317202504-SBV-ABR25 compensado'!H55)</f>
        <v>0</v>
      </c>
      <c r="I55" s="46">
        <f>MAX('P317202504-SBV-ABR25 compensado'!I111,'P317202504-SBV-ABR25 compensado'!I55)</f>
        <v>0</v>
      </c>
      <c r="J55" s="46">
        <f>MAX('P317202504-SBV-ABR25 compensado'!J111,'P317202504-SBV-ABR25 compensado'!J55)</f>
        <v>0</v>
      </c>
      <c r="K55" s="46">
        <f>MAX('P317202504-SBV-ABR25 compensado'!K111,'P317202504-SBV-ABR25 compensado'!K55)</f>
        <v>0</v>
      </c>
      <c r="L55" s="45">
        <f>'P317202504-SBV-ABR25 compensado'!L111+'P317202504-SBV-ABR25 compensado'!L55</f>
        <v>0</v>
      </c>
    </row>
    <row r="56" spans="1:12" ht="121.5" thickBot="1">
      <c r="A56" s="53">
        <v>7</v>
      </c>
      <c r="B56" s="54" t="s">
        <v>38</v>
      </c>
      <c r="C56" s="44">
        <f>'P317202504-SBV-ABR25 compensado'!C112+'P317202504-SBV-ABR25 compensado'!C56</f>
        <v>0</v>
      </c>
      <c r="D56" s="44">
        <f>'P317202504-SBV-ABR25 compensado'!D112+'P317202504-SBV-ABR25 compensado'!D56</f>
        <v>0</v>
      </c>
      <c r="E56" s="44">
        <f>'P317202504-SBV-ABR25 compensado'!E112+'P317202504-SBV-ABR25 compensado'!E56</f>
        <v>0</v>
      </c>
      <c r="F56" s="44">
        <f>'P317202504-SBV-ABR25 compensado'!F112+'P317202504-SBV-ABR25 compensado'!F56</f>
        <v>0</v>
      </c>
      <c r="G56" s="45">
        <f>'P317202504-SBV-ABR25 compensado'!G112+'P317202504-SBV-ABR25 compensado'!G56</f>
        <v>0</v>
      </c>
      <c r="H56" s="46">
        <f>MAX('P317202504-SBV-ABR25 compensado'!H112,'P317202504-SBV-ABR25 compensado'!H56)</f>
        <v>0</v>
      </c>
      <c r="I56" s="46">
        <f>MAX('P317202504-SBV-ABR25 compensado'!I112,'P317202504-SBV-ABR25 compensado'!I56)</f>
        <v>0</v>
      </c>
      <c r="J56" s="46">
        <f>MAX('P317202504-SBV-ABR25 compensado'!J112,'P317202504-SBV-ABR25 compensado'!J56)</f>
        <v>0</v>
      </c>
      <c r="K56" s="46">
        <f>MAX('P317202504-SBV-ABR25 compensado'!K112,'P317202504-SBV-ABR25 compensado'!K56)</f>
        <v>0</v>
      </c>
      <c r="L56" s="45">
        <f>'P317202504-SBV-ABR25 compensado'!L112+'P317202504-SBV-ABR25 compensado'!L56</f>
        <v>0</v>
      </c>
    </row>
  </sheetData>
  <mergeCells count="10">
    <mergeCell ref="A7:A16"/>
    <mergeCell ref="A1:L1"/>
    <mergeCell ref="A2:L2"/>
    <mergeCell ref="A3:L3"/>
    <mergeCell ref="A4:L4"/>
    <mergeCell ref="A5:A6"/>
    <mergeCell ref="B5:B6"/>
    <mergeCell ref="C5:G5"/>
    <mergeCell ref="H5:K5"/>
    <mergeCell ref="L5:L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P317202504-SBV-ABR25 compensado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Parámetros de Facturación</dc:title>
  <cp:lastModifiedBy>Abigail Reyes Rodriguez</cp:lastModifiedBy>
  <dcterms:created xsi:type="dcterms:W3CDTF">2025-05-01T21:42:31Z</dcterms:created>
  <dcterms:modified xsi:type="dcterms:W3CDTF">2025-05-16T22:43:56Z</dcterms:modified>
</cp:coreProperties>
</file>